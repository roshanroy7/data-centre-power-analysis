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686E4C3D-F274-4C62-B043-3E7BD8F2C27A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aw" sheetId="1" r:id="rId1"/>
    <sheet name="cso_published" sheetId="2" r:id="rId2"/>
    <sheet name="reconciliation" sheetId="3" r:id="rId3"/>
    <sheet name="pivot" sheetId="4" r:id="rId4"/>
  </sheets>
  <calcPr calcId="191028"/>
  <pivotCaches>
    <pivotCache cacheId="4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3" l="1"/>
  <c r="E3" i="3"/>
  <c r="E4" i="3"/>
  <c r="E5" i="3"/>
  <c r="E6" i="3"/>
  <c r="E7" i="3"/>
  <c r="E8" i="3"/>
  <c r="E9" i="3"/>
  <c r="E10" i="3"/>
  <c r="E11" i="3"/>
  <c r="E12" i="3"/>
  <c r="E2" i="3"/>
  <c r="D3" i="3"/>
  <c r="D4" i="3"/>
  <c r="D5" i="3"/>
  <c r="D6" i="3"/>
  <c r="D7" i="3"/>
  <c r="D8" i="3"/>
  <c r="D9" i="3"/>
  <c r="D10" i="3"/>
  <c r="D11" i="3"/>
  <c r="D12" i="3"/>
  <c r="D2" i="3"/>
  <c r="C3" i="3"/>
  <c r="C4" i="3"/>
  <c r="C5" i="3"/>
  <c r="C6" i="3"/>
  <c r="C7" i="3"/>
  <c r="C8" i="3"/>
  <c r="C9" i="3"/>
  <c r="C10" i="3"/>
  <c r="C11" i="3"/>
  <c r="C12" i="3"/>
  <c r="C2" i="3"/>
  <c r="B3" i="3"/>
  <c r="B4" i="3"/>
  <c r="B5" i="3"/>
  <c r="B6" i="3"/>
  <c r="B7" i="3"/>
  <c r="B8" i="3"/>
  <c r="B9" i="3"/>
  <c r="B10" i="3"/>
  <c r="B11" i="3"/>
  <c r="B12" i="3"/>
  <c r="B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2" i="1"/>
</calcChain>
</file>

<file path=xl/sharedStrings.xml><?xml version="1.0" encoding="utf-8"?>
<sst xmlns="http://schemas.openxmlformats.org/spreadsheetml/2006/main" count="556" uniqueCount="69">
  <si>
    <t>Statistic Label</t>
  </si>
  <si>
    <t>Quarter</t>
  </si>
  <si>
    <t>Electricity Consumption</t>
  </si>
  <si>
    <t>UNIT</t>
  </si>
  <si>
    <t>VALUE</t>
  </si>
  <si>
    <t>YEAR</t>
  </si>
  <si>
    <t>Gigawatt hours</t>
  </si>
  <si>
    <t>2015Q1</t>
  </si>
  <si>
    <t>All metered electricity consumption</t>
  </si>
  <si>
    <t>GWh</t>
  </si>
  <si>
    <t>Data centres</t>
  </si>
  <si>
    <t>Customers other than data centres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</si>
  <si>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</si>
  <si>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</si>
  <si>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</si>
  <si>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</si>
  <si>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</si>
  <si>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</si>
  <si>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</si>
  <si>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</si>
  <si>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</si>
  <si>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</si>
  <si>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</si>
  <si>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</si>
  <si>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</si>
  <si>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</si>
  <si>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</si>
  <si>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</si>
  <si>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</si>
  <si>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</si>
  <si>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</si>
  <si>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</si>
  <si>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</si>
  <si>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</si>
  <si>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</si>
  <si>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</si>
  <si>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</si>
  <si>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</si>
  <si>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</si>
  <si>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</si>
  <si>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</si>
  <si>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</si>
  <si>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</si>
  <si>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</si>
  <si>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</si>
  <si>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</si>
  <si>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</si>
  <si>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</si>
  <si>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</si>
  <si>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</si>
  <si>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</si>
  <si>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</si>
  <si>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</si>
  <si>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</si>
  <si>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</si>
  <si>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Year</t>
  </si>
  <si>
    <t>DC_published</t>
  </si>
  <si>
    <t>Other_published</t>
  </si>
  <si>
    <t>Total_published</t>
  </si>
  <si>
    <t>DC_calculated</t>
  </si>
  <si>
    <t>Difference</t>
  </si>
  <si>
    <t xml:space="preserve"> Check</t>
  </si>
  <si>
    <t>Years passed</t>
  </si>
  <si>
    <t>Values</t>
  </si>
  <si>
    <t>Total Sum of VALUE</t>
  </si>
  <si>
    <t>Total Share %</t>
  </si>
  <si>
    <t>Sum of VALUE</t>
  </si>
  <si>
    <t>Share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</si>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</sst>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619795486113" createdVersion="8" refreshedVersion="8" minRefreshableVersion="3" recordCount="132" xr:uid="{2113F1B7-87E2-4B4D-B507-70C777E9757A}">
  <cacheSource type="worksheet">
    <worksheetSource ref="A1:F133" sheet="raw"/>
  </cacheSource>
  <cacheFields count="6">
    <cacheField name="Statistic Label" numFmtId="0">
      <sharedItems count="1">
        <s v="Gigawatt hours"/>
      </sharedItems>
    </cacheField>
    <cacheField name="Quarter" numFmtId="0">
      <sharedItems/>
    </cacheField>
    <cacheField name="Electricity Consumption" numFmtId="0">
      <sharedItems count="3">
        <s v="All metered electricity consumption"/>
        <s v="Data centres"/>
        <s v="Customers other than data centres"/>
      </sharedItems>
    </cacheField>
    <cacheField name="UNIT" numFmtId="0">
      <sharedItems/>
    </cacheField>
    <cacheField name="VALUE" numFmtId="0">
      <sharedItems containsSemiMixedTypes="0" containsString="0" containsNumber="1" containsInteger="1" minValue="291" maxValue="8706"/>
    </cacheField>
    <cacheField name="YEAR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s v="2015Q1"/>
    <x v="0"/>
    <s v="GWh"/>
    <n v="6565"/>
    <x v="0"/>
  </r>
  <r>
    <x v="0"/>
    <s v="2015Q1"/>
    <x v="1"/>
    <s v="GWh"/>
    <n v="291"/>
    <x v="0"/>
  </r>
  <r>
    <x v="0"/>
    <s v="2015Q1"/>
    <x v="2"/>
    <s v="GWh"/>
    <n v="6274"/>
    <x v="0"/>
  </r>
  <r>
    <x v="0"/>
    <s v="2015Q2"/>
    <x v="0"/>
    <s v="GWh"/>
    <n v="6086"/>
    <x v="0"/>
  </r>
  <r>
    <x v="0"/>
    <s v="2015Q2"/>
    <x v="1"/>
    <s v="GWh"/>
    <n v="304"/>
    <x v="0"/>
  </r>
  <r>
    <x v="0"/>
    <s v="2015Q2"/>
    <x v="2"/>
    <s v="GWh"/>
    <n v="5783"/>
    <x v="0"/>
  </r>
  <r>
    <x v="0"/>
    <s v="2015Q3"/>
    <x v="0"/>
    <s v="GWh"/>
    <n v="5783"/>
    <x v="0"/>
  </r>
  <r>
    <x v="0"/>
    <s v="2015Q3"/>
    <x v="1"/>
    <s v="GWh"/>
    <n v="316"/>
    <x v="0"/>
  </r>
  <r>
    <x v="0"/>
    <s v="2015Q3"/>
    <x v="2"/>
    <s v="GWh"/>
    <n v="5467"/>
    <x v="0"/>
  </r>
  <r>
    <x v="0"/>
    <s v="2015Q4"/>
    <x v="0"/>
    <s v="GWh"/>
    <n v="6165"/>
    <x v="0"/>
  </r>
  <r>
    <x v="0"/>
    <s v="2015Q4"/>
    <x v="1"/>
    <s v="GWh"/>
    <n v="329"/>
    <x v="0"/>
  </r>
  <r>
    <x v="0"/>
    <s v="2015Q4"/>
    <x v="2"/>
    <s v="GWh"/>
    <n v="5836"/>
    <x v="0"/>
  </r>
  <r>
    <x v="0"/>
    <s v="2016Q1"/>
    <x v="0"/>
    <s v="GWh"/>
    <n v="6651"/>
    <x v="1"/>
  </r>
  <r>
    <x v="0"/>
    <s v="2016Q1"/>
    <x v="1"/>
    <s v="GWh"/>
    <n v="341"/>
    <x v="1"/>
  </r>
  <r>
    <x v="0"/>
    <s v="2016Q1"/>
    <x v="2"/>
    <s v="GWh"/>
    <n v="6310"/>
    <x v="1"/>
  </r>
  <r>
    <x v="0"/>
    <s v="2016Q2"/>
    <x v="0"/>
    <s v="GWh"/>
    <n v="6471"/>
    <x v="1"/>
  </r>
  <r>
    <x v="0"/>
    <s v="2016Q2"/>
    <x v="1"/>
    <s v="GWh"/>
    <n v="361"/>
    <x v="1"/>
  </r>
  <r>
    <x v="0"/>
    <s v="2016Q2"/>
    <x v="2"/>
    <s v="GWh"/>
    <n v="6111"/>
    <x v="1"/>
  </r>
  <r>
    <x v="0"/>
    <s v="2016Q3"/>
    <x v="0"/>
    <s v="GWh"/>
    <n v="5926"/>
    <x v="1"/>
  </r>
  <r>
    <x v="0"/>
    <s v="2016Q3"/>
    <x v="1"/>
    <s v="GWh"/>
    <n v="386"/>
    <x v="1"/>
  </r>
  <r>
    <x v="0"/>
    <s v="2016Q3"/>
    <x v="2"/>
    <s v="GWh"/>
    <n v="5540"/>
    <x v="1"/>
  </r>
  <r>
    <x v="0"/>
    <s v="2016Q4"/>
    <x v="0"/>
    <s v="GWh"/>
    <n v="6307"/>
    <x v="1"/>
  </r>
  <r>
    <x v="0"/>
    <s v="2016Q4"/>
    <x v="1"/>
    <s v="GWh"/>
    <n v="395"/>
    <x v="1"/>
  </r>
  <r>
    <x v="0"/>
    <s v="2016Q4"/>
    <x v="2"/>
    <s v="GWh"/>
    <n v="5912"/>
    <x v="1"/>
  </r>
  <r>
    <x v="0"/>
    <s v="2017Q1"/>
    <x v="0"/>
    <s v="GWh"/>
    <n v="6867"/>
    <x v="2"/>
  </r>
  <r>
    <x v="0"/>
    <s v="2017Q1"/>
    <x v="1"/>
    <s v="GWh"/>
    <n v="407"/>
    <x v="2"/>
  </r>
  <r>
    <x v="0"/>
    <s v="2017Q1"/>
    <x v="2"/>
    <s v="GWh"/>
    <n v="6460"/>
    <x v="2"/>
  </r>
  <r>
    <x v="0"/>
    <s v="2017Q2"/>
    <x v="0"/>
    <s v="GWh"/>
    <n v="6429"/>
    <x v="2"/>
  </r>
  <r>
    <x v="0"/>
    <s v="2017Q2"/>
    <x v="1"/>
    <s v="GWh"/>
    <n v="433"/>
    <x v="2"/>
  </r>
  <r>
    <x v="0"/>
    <s v="2017Q2"/>
    <x v="2"/>
    <s v="GWh"/>
    <n v="5996"/>
    <x v="2"/>
  </r>
  <r>
    <x v="0"/>
    <s v="2017Q3"/>
    <x v="0"/>
    <s v="GWh"/>
    <n v="5969"/>
    <x v="2"/>
  </r>
  <r>
    <x v="0"/>
    <s v="2017Q3"/>
    <x v="1"/>
    <s v="GWh"/>
    <n v="450"/>
    <x v="2"/>
  </r>
  <r>
    <x v="0"/>
    <s v="2017Q3"/>
    <x v="2"/>
    <s v="GWh"/>
    <n v="5519"/>
    <x v="2"/>
  </r>
  <r>
    <x v="0"/>
    <s v="2017Q4"/>
    <x v="0"/>
    <s v="GWh"/>
    <n v="6461"/>
    <x v="2"/>
  </r>
  <r>
    <x v="0"/>
    <s v="2017Q4"/>
    <x v="1"/>
    <s v="GWh"/>
    <n v="472"/>
    <x v="2"/>
  </r>
  <r>
    <x v="0"/>
    <s v="2017Q4"/>
    <x v="2"/>
    <s v="GWh"/>
    <n v="5988"/>
    <x v="2"/>
  </r>
  <r>
    <x v="0"/>
    <s v="2018Q1"/>
    <x v="0"/>
    <s v="GWh"/>
    <n v="7097"/>
    <x v="3"/>
  </r>
  <r>
    <x v="0"/>
    <s v="2018Q1"/>
    <x v="1"/>
    <s v="GWh"/>
    <n v="491"/>
    <x v="3"/>
  </r>
  <r>
    <x v="0"/>
    <s v="2018Q1"/>
    <x v="2"/>
    <s v="GWh"/>
    <n v="6606"/>
    <x v="3"/>
  </r>
  <r>
    <x v="0"/>
    <s v="2018Q2"/>
    <x v="0"/>
    <s v="GWh"/>
    <n v="6845"/>
    <x v="3"/>
  </r>
  <r>
    <x v="0"/>
    <s v="2018Q2"/>
    <x v="1"/>
    <s v="GWh"/>
    <n v="527"/>
    <x v="3"/>
  </r>
  <r>
    <x v="0"/>
    <s v="2018Q2"/>
    <x v="2"/>
    <s v="GWh"/>
    <n v="6318"/>
    <x v="3"/>
  </r>
  <r>
    <x v="0"/>
    <s v="2018Q3"/>
    <x v="0"/>
    <s v="GWh"/>
    <n v="6187"/>
    <x v="3"/>
  </r>
  <r>
    <x v="0"/>
    <s v="2018Q3"/>
    <x v="1"/>
    <s v="GWh"/>
    <n v="574"/>
    <x v="3"/>
  </r>
  <r>
    <x v="0"/>
    <s v="2018Q3"/>
    <x v="2"/>
    <s v="GWh"/>
    <n v="5614"/>
    <x v="3"/>
  </r>
  <r>
    <x v="0"/>
    <s v="2018Q4"/>
    <x v="0"/>
    <s v="GWh"/>
    <n v="6601"/>
    <x v="3"/>
  </r>
  <r>
    <x v="0"/>
    <s v="2018Q4"/>
    <x v="1"/>
    <s v="GWh"/>
    <n v="591"/>
    <x v="3"/>
  </r>
  <r>
    <x v="0"/>
    <s v="2018Q4"/>
    <x v="2"/>
    <s v="GWh"/>
    <n v="6010"/>
    <x v="3"/>
  </r>
  <r>
    <x v="0"/>
    <s v="2019Q1"/>
    <x v="0"/>
    <s v="GWh"/>
    <n v="7128"/>
    <x v="4"/>
  </r>
  <r>
    <x v="0"/>
    <s v="2019Q1"/>
    <x v="1"/>
    <s v="GWh"/>
    <n v="578"/>
    <x v="4"/>
  </r>
  <r>
    <x v="0"/>
    <s v="2019Q1"/>
    <x v="2"/>
    <s v="GWh"/>
    <n v="6550"/>
    <x v="4"/>
  </r>
  <r>
    <x v="0"/>
    <s v="2019Q2"/>
    <x v="0"/>
    <s v="GWh"/>
    <n v="6349"/>
    <x v="4"/>
  </r>
  <r>
    <x v="0"/>
    <s v="2019Q2"/>
    <x v="1"/>
    <s v="GWh"/>
    <n v="601"/>
    <x v="4"/>
  </r>
  <r>
    <x v="0"/>
    <s v="2019Q2"/>
    <x v="2"/>
    <s v="GWh"/>
    <n v="5749"/>
    <x v="4"/>
  </r>
  <r>
    <x v="0"/>
    <s v="2019Q3"/>
    <x v="0"/>
    <s v="GWh"/>
    <n v="6299"/>
    <x v="4"/>
  </r>
  <r>
    <x v="0"/>
    <s v="2019Q3"/>
    <x v="1"/>
    <s v="GWh"/>
    <n v="638"/>
    <x v="4"/>
  </r>
  <r>
    <x v="0"/>
    <s v="2019Q3"/>
    <x v="2"/>
    <s v="GWh"/>
    <n v="5661"/>
    <x v="4"/>
  </r>
  <r>
    <x v="0"/>
    <s v="2019Q4"/>
    <x v="0"/>
    <s v="GWh"/>
    <n v="6728"/>
    <x v="4"/>
  </r>
  <r>
    <x v="0"/>
    <s v="2019Q4"/>
    <x v="1"/>
    <s v="GWh"/>
    <n v="672"/>
    <x v="4"/>
  </r>
  <r>
    <x v="0"/>
    <s v="2019Q4"/>
    <x v="2"/>
    <s v="GWh"/>
    <n v="6056"/>
    <x v="4"/>
  </r>
  <r>
    <x v="0"/>
    <s v="2020Q1"/>
    <x v="0"/>
    <s v="GWh"/>
    <n v="7399"/>
    <x v="5"/>
  </r>
  <r>
    <x v="0"/>
    <s v="2020Q1"/>
    <x v="1"/>
    <s v="GWh"/>
    <n v="691"/>
    <x v="5"/>
  </r>
  <r>
    <x v="0"/>
    <s v="2020Q1"/>
    <x v="2"/>
    <s v="GWh"/>
    <n v="6708"/>
    <x v="5"/>
  </r>
  <r>
    <x v="0"/>
    <s v="2020Q2"/>
    <x v="0"/>
    <s v="GWh"/>
    <n v="6429"/>
    <x v="5"/>
  </r>
  <r>
    <x v="0"/>
    <s v="2020Q2"/>
    <x v="1"/>
    <s v="GWh"/>
    <n v="722"/>
    <x v="5"/>
  </r>
  <r>
    <x v="0"/>
    <s v="2020Q2"/>
    <x v="2"/>
    <s v="GWh"/>
    <n v="5707"/>
    <x v="5"/>
  </r>
  <r>
    <x v="0"/>
    <s v="2020Q3"/>
    <x v="0"/>
    <s v="GWh"/>
    <n v="6381"/>
    <x v="5"/>
  </r>
  <r>
    <x v="0"/>
    <s v="2020Q3"/>
    <x v="1"/>
    <s v="GWh"/>
    <n v="766"/>
    <x v="5"/>
  </r>
  <r>
    <x v="0"/>
    <s v="2020Q3"/>
    <x v="2"/>
    <s v="GWh"/>
    <n v="5615"/>
    <x v="5"/>
  </r>
  <r>
    <x v="0"/>
    <s v="2020Q4"/>
    <x v="0"/>
    <s v="GWh"/>
    <n v="6847"/>
    <x v="5"/>
  </r>
  <r>
    <x v="0"/>
    <s v="2020Q4"/>
    <x v="1"/>
    <s v="GWh"/>
    <n v="852"/>
    <x v="5"/>
  </r>
  <r>
    <x v="0"/>
    <s v="2020Q4"/>
    <x v="2"/>
    <s v="GWh"/>
    <n v="5996"/>
    <x v="5"/>
  </r>
  <r>
    <x v="0"/>
    <s v="2021Q1"/>
    <x v="0"/>
    <s v="GWh"/>
    <n v="7347"/>
    <x v="6"/>
  </r>
  <r>
    <x v="0"/>
    <s v="2021Q1"/>
    <x v="1"/>
    <s v="GWh"/>
    <n v="922"/>
    <x v="6"/>
  </r>
  <r>
    <x v="0"/>
    <s v="2021Q1"/>
    <x v="2"/>
    <s v="GWh"/>
    <n v="6426"/>
    <x v="6"/>
  </r>
  <r>
    <x v="0"/>
    <s v="2021Q2"/>
    <x v="0"/>
    <s v="GWh"/>
    <n v="7222"/>
    <x v="6"/>
  </r>
  <r>
    <x v="0"/>
    <s v="2021Q2"/>
    <x v="1"/>
    <s v="GWh"/>
    <n v="987"/>
    <x v="6"/>
  </r>
  <r>
    <x v="0"/>
    <s v="2021Q2"/>
    <x v="2"/>
    <s v="GWh"/>
    <n v="6235"/>
    <x v="6"/>
  </r>
  <r>
    <x v="0"/>
    <s v="2021Q3"/>
    <x v="0"/>
    <s v="GWh"/>
    <n v="6779"/>
    <x v="6"/>
  </r>
  <r>
    <x v="0"/>
    <s v="2021Q3"/>
    <x v="1"/>
    <s v="GWh"/>
    <n v="1035"/>
    <x v="6"/>
  </r>
  <r>
    <x v="0"/>
    <s v="2021Q3"/>
    <x v="2"/>
    <s v="GWh"/>
    <n v="5744"/>
    <x v="6"/>
  </r>
  <r>
    <x v="0"/>
    <s v="2021Q4"/>
    <x v="0"/>
    <s v="GWh"/>
    <n v="7158"/>
    <x v="6"/>
  </r>
  <r>
    <x v="0"/>
    <s v="2021Q4"/>
    <x v="1"/>
    <s v="GWh"/>
    <n v="1069"/>
    <x v="6"/>
  </r>
  <r>
    <x v="0"/>
    <s v="2021Q4"/>
    <x v="2"/>
    <s v="GWh"/>
    <n v="6089"/>
    <x v="6"/>
  </r>
  <r>
    <x v="0"/>
    <s v="2022Q1"/>
    <x v="0"/>
    <s v="GWh"/>
    <n v="7847"/>
    <x v="7"/>
  </r>
  <r>
    <x v="0"/>
    <s v="2022Q1"/>
    <x v="1"/>
    <s v="GWh"/>
    <n v="1194"/>
    <x v="7"/>
  </r>
  <r>
    <x v="0"/>
    <s v="2022Q1"/>
    <x v="2"/>
    <s v="GWh"/>
    <n v="6653"/>
    <x v="7"/>
  </r>
  <r>
    <x v="0"/>
    <s v="2022Q2"/>
    <x v="0"/>
    <s v="GWh"/>
    <n v="7524"/>
    <x v="7"/>
  </r>
  <r>
    <x v="0"/>
    <s v="2022Q2"/>
    <x v="1"/>
    <s v="GWh"/>
    <n v="1287"/>
    <x v="7"/>
  </r>
  <r>
    <x v="0"/>
    <s v="2022Q2"/>
    <x v="2"/>
    <s v="GWh"/>
    <n v="6237"/>
    <x v="7"/>
  </r>
  <r>
    <x v="0"/>
    <s v="2022Q3"/>
    <x v="0"/>
    <s v="GWh"/>
    <n v="7050"/>
    <x v="7"/>
  </r>
  <r>
    <x v="0"/>
    <s v="2022Q3"/>
    <x v="1"/>
    <s v="GWh"/>
    <n v="1336"/>
    <x v="7"/>
  </r>
  <r>
    <x v="0"/>
    <s v="2022Q3"/>
    <x v="2"/>
    <s v="GWh"/>
    <n v="5714"/>
    <x v="7"/>
  </r>
  <r>
    <x v="0"/>
    <s v="2022Q4"/>
    <x v="0"/>
    <s v="GWh"/>
    <n v="7404"/>
    <x v="7"/>
  </r>
  <r>
    <x v="0"/>
    <s v="2022Q4"/>
    <x v="1"/>
    <s v="GWh"/>
    <n v="1457"/>
    <x v="7"/>
  </r>
  <r>
    <x v="0"/>
    <s v="2022Q4"/>
    <x v="2"/>
    <s v="GWh"/>
    <n v="5948"/>
    <x v="7"/>
  </r>
  <r>
    <x v="0"/>
    <s v="2023Q1"/>
    <x v="0"/>
    <s v="GWh"/>
    <n v="8038"/>
    <x v="8"/>
  </r>
  <r>
    <x v="0"/>
    <s v="2023Q1"/>
    <x v="1"/>
    <s v="GWh"/>
    <n v="1497"/>
    <x v="8"/>
  </r>
  <r>
    <x v="0"/>
    <s v="2023Q1"/>
    <x v="2"/>
    <s v="GWh"/>
    <n v="6542"/>
    <x v="8"/>
  </r>
  <r>
    <x v="0"/>
    <s v="2023Q2"/>
    <x v="0"/>
    <s v="GWh"/>
    <n v="7706"/>
    <x v="8"/>
  </r>
  <r>
    <x v="0"/>
    <s v="2023Q2"/>
    <x v="1"/>
    <s v="GWh"/>
    <n v="1554"/>
    <x v="8"/>
  </r>
  <r>
    <x v="0"/>
    <s v="2023Q2"/>
    <x v="2"/>
    <s v="GWh"/>
    <n v="6152"/>
    <x v="8"/>
  </r>
  <r>
    <x v="0"/>
    <s v="2023Q3"/>
    <x v="0"/>
    <s v="GWh"/>
    <n v="7136"/>
    <x v="8"/>
  </r>
  <r>
    <x v="0"/>
    <s v="2023Q3"/>
    <x v="1"/>
    <s v="GWh"/>
    <n v="1625"/>
    <x v="8"/>
  </r>
  <r>
    <x v="0"/>
    <s v="2023Q3"/>
    <x v="2"/>
    <s v="GWh"/>
    <n v="5510"/>
    <x v="8"/>
  </r>
  <r>
    <x v="0"/>
    <s v="2023Q4"/>
    <x v="0"/>
    <s v="GWh"/>
    <n v="7701"/>
    <x v="8"/>
  </r>
  <r>
    <x v="0"/>
    <s v="2023Q4"/>
    <x v="1"/>
    <s v="GWh"/>
    <n v="1663"/>
    <x v="8"/>
  </r>
  <r>
    <x v="0"/>
    <s v="2023Q4"/>
    <x v="2"/>
    <s v="GWh"/>
    <n v="6038"/>
    <x v="8"/>
  </r>
  <r>
    <x v="0"/>
    <s v="2024Q1"/>
    <x v="0"/>
    <s v="GWh"/>
    <n v="8348"/>
    <x v="9"/>
  </r>
  <r>
    <x v="0"/>
    <s v="2024Q1"/>
    <x v="1"/>
    <s v="GWh"/>
    <n v="1659"/>
    <x v="9"/>
  </r>
  <r>
    <x v="0"/>
    <s v="2024Q1"/>
    <x v="2"/>
    <s v="GWh"/>
    <n v="6689"/>
    <x v="9"/>
  </r>
  <r>
    <x v="0"/>
    <s v="2024Q2"/>
    <x v="0"/>
    <s v="GWh"/>
    <n v="7935"/>
    <x v="9"/>
  </r>
  <r>
    <x v="0"/>
    <s v="2024Q2"/>
    <x v="1"/>
    <s v="GWh"/>
    <n v="1692"/>
    <x v="9"/>
  </r>
  <r>
    <x v="0"/>
    <s v="2024Q2"/>
    <x v="2"/>
    <s v="GWh"/>
    <n v="6243"/>
    <x v="9"/>
  </r>
  <r>
    <x v="0"/>
    <s v="2024Q3"/>
    <x v="0"/>
    <s v="GWh"/>
    <n v="7513"/>
    <x v="9"/>
  </r>
  <r>
    <x v="0"/>
    <s v="2024Q3"/>
    <x v="1"/>
    <s v="GWh"/>
    <n v="1793"/>
    <x v="9"/>
  </r>
  <r>
    <x v="0"/>
    <s v="2024Q3"/>
    <x v="2"/>
    <s v="GWh"/>
    <n v="5720"/>
    <x v="9"/>
  </r>
  <r>
    <x v="0"/>
    <s v="2024Q4"/>
    <x v="0"/>
    <s v="GWh"/>
    <n v="8108"/>
    <x v="9"/>
  </r>
  <r>
    <x v="0"/>
    <s v="2024Q4"/>
    <x v="1"/>
    <s v="GWh"/>
    <n v="1830"/>
    <x v="9"/>
  </r>
  <r>
    <x v="0"/>
    <s v="2024Q4"/>
    <x v="2"/>
    <s v="GWh"/>
    <n v="6278"/>
    <x v="9"/>
  </r>
  <r>
    <x v="0"/>
    <s v="2025Q1"/>
    <x v="0"/>
    <s v="GWh"/>
    <n v="8706"/>
    <x v="10"/>
  </r>
  <r>
    <x v="0"/>
    <s v="2025Q1"/>
    <x v="1"/>
    <s v="GWh"/>
    <n v="1821"/>
    <x v="10"/>
  </r>
  <r>
    <x v="0"/>
    <s v="2025Q1"/>
    <x v="2"/>
    <s v="GWh"/>
    <n v="6884"/>
    <x v="10"/>
  </r>
  <r>
    <x v="0"/>
    <s v="2025Q2"/>
    <x v="0"/>
    <s v="GWh"/>
    <n v="8127"/>
    <x v="10"/>
  </r>
  <r>
    <x v="0"/>
    <s v="2025Q2"/>
    <x v="1"/>
    <s v="GWh"/>
    <n v="1894"/>
    <x v="10"/>
  </r>
  <r>
    <x v="0"/>
    <s v="2025Q2"/>
    <x v="2"/>
    <s v="GWh"/>
    <n v="6232"/>
    <x v="10"/>
  </r>
  <r>
    <x v="0"/>
    <s v="2025Q3"/>
    <x v="0"/>
    <s v="GWh"/>
    <n v="7734"/>
    <x v="10"/>
  </r>
  <r>
    <x v="0"/>
    <s v="2025Q3"/>
    <x v="1"/>
    <s v="GWh"/>
    <n v="1956"/>
    <x v="10"/>
  </r>
  <r>
    <x v="0"/>
    <s v="2025Q3"/>
    <x v="2"/>
    <s v="GWh"/>
    <n v="5778"/>
    <x v="10"/>
  </r>
  <r>
    <x v="0"/>
    <s v="2025Q4"/>
    <x v="0"/>
    <s v="GWh"/>
    <n v="8420"/>
    <x v="10"/>
  </r>
  <r>
    <x v="0"/>
    <s v="2025Q4"/>
    <x v="1"/>
    <s v="GWh"/>
    <n v="1991"/>
    <x v="10"/>
  </r>
  <r>
    <x v="0"/>
    <s v="2025Q4"/>
    <x v="2"/>
    <s v="GWh"/>
    <n v="6429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26693-E51B-4260-852F-61BBCC072257}" name="PivotTable1" cacheId="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7" firstHeaderRow="1" firstDataRow="3" firstDataCol="1"/>
  <pivotFields count="6">
    <pivotField compact="0" outline="0" showAll="0">
      <items count="2">
        <item x="0"/>
        <item t="default"/>
      </items>
    </pivotField>
    <pivotField compact="0" outline="0" showAll="0"/>
    <pivotField axis="axisCol" compact="0" outline="0" showAll="0">
      <items count="4">
        <item h="1" x="0"/>
        <item x="2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2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VALUE" fld="4" baseField="0" baseItem="0"/>
    <dataField name="Share %" fld="4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workbookViewId="0"/>
  </sheetViews>
  <sheetFormatPr defaultRowHeight="15"/>
  <cols>
    <col min="1" max="1" width="15.28515625" customWidth="1"/>
    <col min="3" max="3" width="31.85546875" customWidth="1"/>
    <col min="5" max="5" width="1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>
        <v>6565</v>
      </c>
      <c r="F2">
        <f>VALUE(LEFT(B2,4))</f>
        <v>2015</v>
      </c>
    </row>
    <row r="3" spans="1:6">
      <c r="A3" s="1" t="s">
        <v>6</v>
      </c>
      <c r="B3" s="1" t="s">
        <v>7</v>
      </c>
      <c r="C3" s="1" t="s">
        <v>10</v>
      </c>
      <c r="D3" s="1" t="s">
        <v>9</v>
      </c>
      <c r="E3" s="1">
        <v>291</v>
      </c>
      <c r="F3">
        <f t="shared" ref="F3:F66" si="0">VALUE(LEFT(B3,4))</f>
        <v>2015</v>
      </c>
    </row>
    <row r="4" spans="1:6">
      <c r="A4" s="1" t="s">
        <v>6</v>
      </c>
      <c r="B4" s="1" t="s">
        <v>7</v>
      </c>
      <c r="C4" s="1" t="s">
        <v>11</v>
      </c>
      <c r="D4" s="1" t="s">
        <v>9</v>
      </c>
      <c r="E4" s="1">
        <v>6274</v>
      </c>
      <c r="F4">
        <f t="shared" si="0"/>
        <v>2015</v>
      </c>
    </row>
    <row r="5" spans="1:6">
      <c r="A5" s="1" t="s">
        <v>6</v>
      </c>
      <c r="B5" s="1" t="s">
        <v>12</v>
      </c>
      <c r="C5" s="1" t="s">
        <v>8</v>
      </c>
      <c r="D5" s="1" t="s">
        <v>9</v>
      </c>
      <c r="E5" s="1">
        <v>6086</v>
      </c>
      <c r="F5">
        <f t="shared" si="0"/>
        <v>2015</v>
      </c>
    </row>
    <row r="6" spans="1:6">
      <c r="A6" s="1" t="s">
        <v>6</v>
      </c>
      <c r="B6" s="1" t="s">
        <v>12</v>
      </c>
      <c r="C6" s="1" t="s">
        <v>10</v>
      </c>
      <c r="D6" s="1" t="s">
        <v>9</v>
      </c>
      <c r="E6" s="1">
        <v>304</v>
      </c>
      <c r="F6">
        <f t="shared" si="0"/>
        <v>2015</v>
      </c>
    </row>
    <row r="7" spans="1:6">
      <c r="A7" s="1" t="s">
        <v>6</v>
      </c>
      <c r="B7" s="1" t="s">
        <v>12</v>
      </c>
      <c r="C7" s="1" t="s">
        <v>11</v>
      </c>
      <c r="D7" s="1" t="s">
        <v>9</v>
      </c>
      <c r="E7" s="1">
        <v>5783</v>
      </c>
      <c r="F7">
        <f t="shared" si="0"/>
        <v>2015</v>
      </c>
    </row>
    <row r="8" spans="1:6">
      <c r="A8" s="1" t="s">
        <v>6</v>
      </c>
      <c r="B8" s="1" t="s">
        <v>13</v>
      </c>
      <c r="C8" s="1" t="s">
        <v>8</v>
      </c>
      <c r="D8" s="1" t="s">
        <v>9</v>
      </c>
      <c r="E8" s="1">
        <v>5783</v>
      </c>
      <c r="F8">
        <f t="shared" si="0"/>
        <v>2015</v>
      </c>
    </row>
    <row r="9" spans="1:6">
      <c r="A9" s="1" t="s">
        <v>6</v>
      </c>
      <c r="B9" s="1" t="s">
        <v>13</v>
      </c>
      <c r="C9" s="1" t="s">
        <v>10</v>
      </c>
      <c r="D9" s="1" t="s">
        <v>9</v>
      </c>
      <c r="E9" s="1">
        <v>316</v>
      </c>
      <c r="F9">
        <f t="shared" si="0"/>
        <v>2015</v>
      </c>
    </row>
    <row r="10" spans="1:6">
      <c r="A10" s="1" t="s">
        <v>6</v>
      </c>
      <c r="B10" s="1" t="s">
        <v>13</v>
      </c>
      <c r="C10" s="1" t="s">
        <v>11</v>
      </c>
      <c r="D10" s="1" t="s">
        <v>9</v>
      </c>
      <c r="E10" s="1">
        <v>5467</v>
      </c>
      <c r="F10">
        <f t="shared" si="0"/>
        <v>2015</v>
      </c>
    </row>
    <row r="11" spans="1:6">
      <c r="A11" s="1" t="s">
        <v>6</v>
      </c>
      <c r="B11" s="1" t="s">
        <v>14</v>
      </c>
      <c r="C11" s="1" t="s">
        <v>8</v>
      </c>
      <c r="D11" s="1" t="s">
        <v>9</v>
      </c>
      <c r="E11" s="1">
        <v>6165</v>
      </c>
      <c r="F11">
        <f t="shared" si="0"/>
        <v>2015</v>
      </c>
    </row>
    <row r="12" spans="1:6">
      <c r="A12" s="1" t="s">
        <v>6</v>
      </c>
      <c r="B12" s="1" t="s">
        <v>14</v>
      </c>
      <c r="C12" s="1" t="s">
        <v>10</v>
      </c>
      <c r="D12" s="1" t="s">
        <v>9</v>
      </c>
      <c r="E12" s="1">
        <v>329</v>
      </c>
      <c r="F12">
        <f t="shared" si="0"/>
        <v>2015</v>
      </c>
    </row>
    <row r="13" spans="1:6">
      <c r="A13" s="1" t="s">
        <v>6</v>
      </c>
      <c r="B13" s="1" t="s">
        <v>14</v>
      </c>
      <c r="C13" s="1" t="s">
        <v>11</v>
      </c>
      <c r="D13" s="1" t="s">
        <v>9</v>
      </c>
      <c r="E13" s="1">
        <v>5836</v>
      </c>
      <c r="F13">
        <f t="shared" si="0"/>
        <v>2015</v>
      </c>
    </row>
    <row r="14" spans="1:6">
      <c r="A14" s="1" t="s">
        <v>6</v>
      </c>
      <c r="B14" s="1" t="s">
        <v>15</v>
      </c>
      <c r="C14" s="1" t="s">
        <v>8</v>
      </c>
      <c r="D14" s="1" t="s">
        <v>9</v>
      </c>
      <c r="E14" s="1">
        <v>6651</v>
      </c>
      <c r="F14">
        <f t="shared" si="0"/>
        <v>2016</v>
      </c>
    </row>
    <row r="15" spans="1:6">
      <c r="A15" s="1" t="s">
        <v>6</v>
      </c>
      <c r="B15" s="1" t="s">
        <v>15</v>
      </c>
      <c r="C15" s="1" t="s">
        <v>10</v>
      </c>
      <c r="D15" s="1" t="s">
        <v>9</v>
      </c>
      <c r="E15" s="1">
        <v>341</v>
      </c>
      <c r="F15">
        <f t="shared" si="0"/>
        <v>2016</v>
      </c>
    </row>
    <row r="16" spans="1:6">
      <c r="A16" s="1" t="s">
        <v>6</v>
      </c>
      <c r="B16" s="1" t="s">
        <v>15</v>
      </c>
      <c r="C16" s="1" t="s">
        <v>11</v>
      </c>
      <c r="D16" s="1" t="s">
        <v>9</v>
      </c>
      <c r="E16" s="1">
        <v>6310</v>
      </c>
      <c r="F16">
        <f t="shared" si="0"/>
        <v>2016</v>
      </c>
    </row>
    <row r="17" spans="1:6">
      <c r="A17" s="1" t="s">
        <v>6</v>
      </c>
      <c r="B17" s="1" t="s">
        <v>16</v>
      </c>
      <c r="C17" s="1" t="s">
        <v>8</v>
      </c>
      <c r="D17" s="1" t="s">
        <v>9</v>
      </c>
      <c r="E17" s="1">
        <v>6471</v>
      </c>
      <c r="F17">
        <f t="shared" si="0"/>
        <v>2016</v>
      </c>
    </row>
    <row r="18" spans="1:6">
      <c r="A18" s="1" t="s">
        <v>6</v>
      </c>
      <c r="B18" s="1" t="s">
        <v>16</v>
      </c>
      <c r="C18" s="1" t="s">
        <v>10</v>
      </c>
      <c r="D18" s="1" t="s">
        <v>9</v>
      </c>
      <c r="E18" s="1">
        <v>361</v>
      </c>
      <c r="F18">
        <f t="shared" si="0"/>
        <v>2016</v>
      </c>
    </row>
    <row r="19" spans="1:6">
      <c r="A19" s="1" t="s">
        <v>6</v>
      </c>
      <c r="B19" s="1" t="s">
        <v>16</v>
      </c>
      <c r="C19" s="1" t="s">
        <v>11</v>
      </c>
      <c r="D19" s="1" t="s">
        <v>9</v>
      </c>
      <c r="E19" s="1">
        <v>6111</v>
      </c>
      <c r="F19">
        <f t="shared" si="0"/>
        <v>2016</v>
      </c>
    </row>
    <row r="20" spans="1:6">
      <c r="A20" s="1" t="s">
        <v>6</v>
      </c>
      <c r="B20" s="1" t="s">
        <v>17</v>
      </c>
      <c r="C20" s="1" t="s">
        <v>8</v>
      </c>
      <c r="D20" s="1" t="s">
        <v>9</v>
      </c>
      <c r="E20" s="1">
        <v>5926</v>
      </c>
      <c r="F20">
        <f t="shared" si="0"/>
        <v>2016</v>
      </c>
    </row>
    <row r="21" spans="1:6">
      <c r="A21" s="1" t="s">
        <v>6</v>
      </c>
      <c r="B21" s="1" t="s">
        <v>17</v>
      </c>
      <c r="C21" s="1" t="s">
        <v>10</v>
      </c>
      <c r="D21" s="1" t="s">
        <v>9</v>
      </c>
      <c r="E21" s="1">
        <v>386</v>
      </c>
      <c r="F21">
        <f t="shared" si="0"/>
        <v>2016</v>
      </c>
    </row>
    <row r="22" spans="1:6">
      <c r="A22" s="1" t="s">
        <v>6</v>
      </c>
      <c r="B22" s="1" t="s">
        <v>17</v>
      </c>
      <c r="C22" s="1" t="s">
        <v>11</v>
      </c>
      <c r="D22" s="1" t="s">
        <v>9</v>
      </c>
      <c r="E22" s="1">
        <v>5540</v>
      </c>
      <c r="F22">
        <f t="shared" si="0"/>
        <v>2016</v>
      </c>
    </row>
    <row r="23" spans="1:6">
      <c r="A23" s="1" t="s">
        <v>6</v>
      </c>
      <c r="B23" s="1" t="s">
        <v>18</v>
      </c>
      <c r="C23" s="1" t="s">
        <v>8</v>
      </c>
      <c r="D23" s="1" t="s">
        <v>9</v>
      </c>
      <c r="E23" s="1">
        <v>6307</v>
      </c>
      <c r="F23">
        <f t="shared" si="0"/>
        <v>2016</v>
      </c>
    </row>
    <row r="24" spans="1:6">
      <c r="A24" s="1" t="s">
        <v>6</v>
      </c>
      <c r="B24" s="1" t="s">
        <v>18</v>
      </c>
      <c r="C24" s="1" t="s">
        <v>10</v>
      </c>
      <c r="D24" s="1" t="s">
        <v>9</v>
      </c>
      <c r="E24" s="1">
        <v>395</v>
      </c>
      <c r="F24">
        <f t="shared" si="0"/>
        <v>2016</v>
      </c>
    </row>
    <row r="25" spans="1:6">
      <c r="A25" s="1" t="s">
        <v>6</v>
      </c>
      <c r="B25" s="1" t="s">
        <v>18</v>
      </c>
      <c r="C25" s="1" t="s">
        <v>11</v>
      </c>
      <c r="D25" s="1" t="s">
        <v>9</v>
      </c>
      <c r="E25" s="1">
        <v>5912</v>
      </c>
      <c r="F25">
        <f t="shared" si="0"/>
        <v>2016</v>
      </c>
    </row>
    <row r="26" spans="1:6">
      <c r="A26" s="1" t="s">
        <v>6</v>
      </c>
      <c r="B26" s="1" t="s">
        <v>19</v>
      </c>
      <c r="C26" s="1" t="s">
        <v>8</v>
      </c>
      <c r="D26" s="1" t="s">
        <v>9</v>
      </c>
      <c r="E26" s="1">
        <v>6867</v>
      </c>
      <c r="F26">
        <f t="shared" si="0"/>
        <v>2017</v>
      </c>
    </row>
    <row r="27" spans="1:6">
      <c r="A27" s="1" t="s">
        <v>6</v>
      </c>
      <c r="B27" s="1" t="s">
        <v>19</v>
      </c>
      <c r="C27" s="1" t="s">
        <v>10</v>
      </c>
      <c r="D27" s="1" t="s">
        <v>9</v>
      </c>
      <c r="E27" s="1">
        <v>407</v>
      </c>
      <c r="F27">
        <f t="shared" si="0"/>
        <v>2017</v>
      </c>
    </row>
    <row r="28" spans="1:6">
      <c r="A28" s="1" t="s">
        <v>6</v>
      </c>
      <c r="B28" s="1" t="s">
        <v>19</v>
      </c>
      <c r="C28" s="1" t="s">
        <v>11</v>
      </c>
      <c r="D28" s="1" t="s">
        <v>9</v>
      </c>
      <c r="E28" s="1">
        <v>6460</v>
      </c>
      <c r="F28">
        <f t="shared" si="0"/>
        <v>2017</v>
      </c>
    </row>
    <row r="29" spans="1:6">
      <c r="A29" s="1" t="s">
        <v>6</v>
      </c>
      <c r="B29" s="1" t="s">
        <v>20</v>
      </c>
      <c r="C29" s="1" t="s">
        <v>8</v>
      </c>
      <c r="D29" s="1" t="s">
        <v>9</v>
      </c>
      <c r="E29" s="1">
        <v>6429</v>
      </c>
      <c r="F29">
        <f t="shared" si="0"/>
        <v>2017</v>
      </c>
    </row>
    <row r="30" spans="1:6">
      <c r="A30" s="1" t="s">
        <v>6</v>
      </c>
      <c r="B30" s="1" t="s">
        <v>20</v>
      </c>
      <c r="C30" s="1" t="s">
        <v>10</v>
      </c>
      <c r="D30" s="1" t="s">
        <v>9</v>
      </c>
      <c r="E30" s="1">
        <v>433</v>
      </c>
      <c r="F30">
        <f t="shared" si="0"/>
        <v>2017</v>
      </c>
    </row>
    <row r="31" spans="1:6">
      <c r="A31" s="1" t="s">
        <v>6</v>
      </c>
      <c r="B31" s="1" t="s">
        <v>20</v>
      </c>
      <c r="C31" s="1" t="s">
        <v>11</v>
      </c>
      <c r="D31" s="1" t="s">
        <v>9</v>
      </c>
      <c r="E31" s="1">
        <v>5996</v>
      </c>
      <c r="F31">
        <f t="shared" si="0"/>
        <v>2017</v>
      </c>
    </row>
    <row r="32" spans="1:6">
      <c r="A32" s="1" t="s">
        <v>6</v>
      </c>
      <c r="B32" s="1" t="s">
        <v>21</v>
      </c>
      <c r="C32" s="1" t="s">
        <v>8</v>
      </c>
      <c r="D32" s="1" t="s">
        <v>9</v>
      </c>
      <c r="E32" s="1">
        <v>5969</v>
      </c>
      <c r="F32">
        <f t="shared" si="0"/>
        <v>2017</v>
      </c>
    </row>
    <row r="33" spans="1:6">
      <c r="A33" s="1" t="s">
        <v>6</v>
      </c>
      <c r="B33" s="1" t="s">
        <v>21</v>
      </c>
      <c r="C33" s="1" t="s">
        <v>10</v>
      </c>
      <c r="D33" s="1" t="s">
        <v>9</v>
      </c>
      <c r="E33" s="1">
        <v>450</v>
      </c>
      <c r="F33">
        <f t="shared" si="0"/>
        <v>2017</v>
      </c>
    </row>
    <row r="34" spans="1:6">
      <c r="A34" s="1" t="s">
        <v>6</v>
      </c>
      <c r="B34" s="1" t="s">
        <v>21</v>
      </c>
      <c r="C34" s="1" t="s">
        <v>11</v>
      </c>
      <c r="D34" s="1" t="s">
        <v>9</v>
      </c>
      <c r="E34" s="1">
        <v>5519</v>
      </c>
      <c r="F34">
        <f t="shared" si="0"/>
        <v>2017</v>
      </c>
    </row>
    <row r="35" spans="1:6">
      <c r="A35" s="1" t="s">
        <v>6</v>
      </c>
      <c r="B35" s="1" t="s">
        <v>22</v>
      </c>
      <c r="C35" s="1" t="s">
        <v>8</v>
      </c>
      <c r="D35" s="1" t="s">
        <v>9</v>
      </c>
      <c r="E35" s="1">
        <v>6461</v>
      </c>
      <c r="F35">
        <f t="shared" si="0"/>
        <v>2017</v>
      </c>
    </row>
    <row r="36" spans="1:6">
      <c r="A36" s="1" t="s">
        <v>6</v>
      </c>
      <c r="B36" s="1" t="s">
        <v>22</v>
      </c>
      <c r="C36" s="1" t="s">
        <v>10</v>
      </c>
      <c r="D36" s="1" t="s">
        <v>9</v>
      </c>
      <c r="E36" s="1">
        <v>472</v>
      </c>
      <c r="F36">
        <f t="shared" si="0"/>
        <v>2017</v>
      </c>
    </row>
    <row r="37" spans="1:6">
      <c r="A37" s="1" t="s">
        <v>6</v>
      </c>
      <c r="B37" s="1" t="s">
        <v>22</v>
      </c>
      <c r="C37" s="1" t="s">
        <v>11</v>
      </c>
      <c r="D37" s="1" t="s">
        <v>9</v>
      </c>
      <c r="E37" s="1">
        <v>5988</v>
      </c>
      <c r="F37">
        <f t="shared" si="0"/>
        <v>2017</v>
      </c>
    </row>
    <row r="38" spans="1:6">
      <c r="A38" s="1" t="s">
        <v>6</v>
      </c>
      <c r="B38" s="1" t="s">
        <v>23</v>
      </c>
      <c r="C38" s="1" t="s">
        <v>8</v>
      </c>
      <c r="D38" s="1" t="s">
        <v>9</v>
      </c>
      <c r="E38" s="1">
        <v>7097</v>
      </c>
      <c r="F38">
        <f t="shared" si="0"/>
        <v>2018</v>
      </c>
    </row>
    <row r="39" spans="1:6">
      <c r="A39" s="1" t="s">
        <v>6</v>
      </c>
      <c r="B39" s="1" t="s">
        <v>23</v>
      </c>
      <c r="C39" s="1" t="s">
        <v>10</v>
      </c>
      <c r="D39" s="1" t="s">
        <v>9</v>
      </c>
      <c r="E39" s="1">
        <v>491</v>
      </c>
      <c r="F39">
        <f t="shared" si="0"/>
        <v>2018</v>
      </c>
    </row>
    <row r="40" spans="1:6">
      <c r="A40" s="1" t="s">
        <v>6</v>
      </c>
      <c r="B40" s="1" t="s">
        <v>23</v>
      </c>
      <c r="C40" s="1" t="s">
        <v>11</v>
      </c>
      <c r="D40" s="1" t="s">
        <v>9</v>
      </c>
      <c r="E40" s="1">
        <v>6606</v>
      </c>
      <c r="F40">
        <f t="shared" si="0"/>
        <v>2018</v>
      </c>
    </row>
    <row r="41" spans="1:6">
      <c r="A41" s="1" t="s">
        <v>6</v>
      </c>
      <c r="B41" s="1" t="s">
        <v>24</v>
      </c>
      <c r="C41" s="1" t="s">
        <v>8</v>
      </c>
      <c r="D41" s="1" t="s">
        <v>9</v>
      </c>
      <c r="E41" s="1">
        <v>6845</v>
      </c>
      <c r="F41">
        <f t="shared" si="0"/>
        <v>2018</v>
      </c>
    </row>
    <row r="42" spans="1:6">
      <c r="A42" s="1" t="s">
        <v>6</v>
      </c>
      <c r="B42" s="1" t="s">
        <v>24</v>
      </c>
      <c r="C42" s="1" t="s">
        <v>10</v>
      </c>
      <c r="D42" s="1" t="s">
        <v>9</v>
      </c>
      <c r="E42" s="1">
        <v>527</v>
      </c>
      <c r="F42">
        <f t="shared" si="0"/>
        <v>2018</v>
      </c>
    </row>
    <row r="43" spans="1:6">
      <c r="A43" s="1" t="s">
        <v>6</v>
      </c>
      <c r="B43" s="1" t="s">
        <v>24</v>
      </c>
      <c r="C43" s="1" t="s">
        <v>11</v>
      </c>
      <c r="D43" s="1" t="s">
        <v>9</v>
      </c>
      <c r="E43" s="1">
        <v>6318</v>
      </c>
      <c r="F43">
        <f t="shared" si="0"/>
        <v>2018</v>
      </c>
    </row>
    <row r="44" spans="1:6">
      <c r="A44" s="1" t="s">
        <v>6</v>
      </c>
      <c r="B44" s="1" t="s">
        <v>25</v>
      </c>
      <c r="C44" s="1" t="s">
        <v>8</v>
      </c>
      <c r="D44" s="1" t="s">
        <v>9</v>
      </c>
      <c r="E44" s="1">
        <v>6187</v>
      </c>
      <c r="F44">
        <f t="shared" si="0"/>
        <v>2018</v>
      </c>
    </row>
    <row r="45" spans="1:6">
      <c r="A45" s="1" t="s">
        <v>6</v>
      </c>
      <c r="B45" s="1" t="s">
        <v>25</v>
      </c>
      <c r="C45" s="1" t="s">
        <v>10</v>
      </c>
      <c r="D45" s="1" t="s">
        <v>9</v>
      </c>
      <c r="E45" s="1">
        <v>574</v>
      </c>
      <c r="F45">
        <f t="shared" si="0"/>
        <v>2018</v>
      </c>
    </row>
    <row r="46" spans="1:6">
      <c r="A46" s="1" t="s">
        <v>6</v>
      </c>
      <c r="B46" s="1" t="s">
        <v>25</v>
      </c>
      <c r="C46" s="1" t="s">
        <v>11</v>
      </c>
      <c r="D46" s="1" t="s">
        <v>9</v>
      </c>
      <c r="E46" s="1">
        <v>5614</v>
      </c>
      <c r="F46">
        <f t="shared" si="0"/>
        <v>2018</v>
      </c>
    </row>
    <row r="47" spans="1:6">
      <c r="A47" s="1" t="s">
        <v>6</v>
      </c>
      <c r="B47" s="1" t="s">
        <v>26</v>
      </c>
      <c r="C47" s="1" t="s">
        <v>8</v>
      </c>
      <c r="D47" s="1" t="s">
        <v>9</v>
      </c>
      <c r="E47" s="1">
        <v>6601</v>
      </c>
      <c r="F47">
        <f t="shared" si="0"/>
        <v>2018</v>
      </c>
    </row>
    <row r="48" spans="1:6">
      <c r="A48" s="1" t="s">
        <v>6</v>
      </c>
      <c r="B48" s="1" t="s">
        <v>26</v>
      </c>
      <c r="C48" s="1" t="s">
        <v>10</v>
      </c>
      <c r="D48" s="1" t="s">
        <v>9</v>
      </c>
      <c r="E48" s="1">
        <v>591</v>
      </c>
      <c r="F48">
        <f t="shared" si="0"/>
        <v>2018</v>
      </c>
    </row>
    <row r="49" spans="1:6">
      <c r="A49" s="1" t="s">
        <v>6</v>
      </c>
      <c r="B49" s="1" t="s">
        <v>26</v>
      </c>
      <c r="C49" s="1" t="s">
        <v>11</v>
      </c>
      <c r="D49" s="1" t="s">
        <v>9</v>
      </c>
      <c r="E49" s="1">
        <v>6010</v>
      </c>
      <c r="F49">
        <f t="shared" si="0"/>
        <v>2018</v>
      </c>
    </row>
    <row r="50" spans="1:6">
      <c r="A50" s="1" t="s">
        <v>6</v>
      </c>
      <c r="B50" s="1" t="s">
        <v>27</v>
      </c>
      <c r="C50" s="1" t="s">
        <v>8</v>
      </c>
      <c r="D50" s="1" t="s">
        <v>9</v>
      </c>
      <c r="E50" s="1">
        <v>7128</v>
      </c>
      <c r="F50">
        <f t="shared" si="0"/>
        <v>2019</v>
      </c>
    </row>
    <row r="51" spans="1:6">
      <c r="A51" s="1" t="s">
        <v>6</v>
      </c>
      <c r="B51" s="1" t="s">
        <v>27</v>
      </c>
      <c r="C51" s="1" t="s">
        <v>10</v>
      </c>
      <c r="D51" s="1" t="s">
        <v>9</v>
      </c>
      <c r="E51" s="1">
        <v>578</v>
      </c>
      <c r="F51">
        <f t="shared" si="0"/>
        <v>2019</v>
      </c>
    </row>
    <row r="52" spans="1:6">
      <c r="A52" s="1" t="s">
        <v>6</v>
      </c>
      <c r="B52" s="1" t="s">
        <v>27</v>
      </c>
      <c r="C52" s="1" t="s">
        <v>11</v>
      </c>
      <c r="D52" s="1" t="s">
        <v>9</v>
      </c>
      <c r="E52" s="1">
        <v>6550</v>
      </c>
      <c r="F52">
        <f t="shared" si="0"/>
        <v>2019</v>
      </c>
    </row>
    <row r="53" spans="1:6">
      <c r="A53" s="1" t="s">
        <v>6</v>
      </c>
      <c r="B53" s="1" t="s">
        <v>28</v>
      </c>
      <c r="C53" s="1" t="s">
        <v>8</v>
      </c>
      <c r="D53" s="1" t="s">
        <v>9</v>
      </c>
      <c r="E53" s="1">
        <v>6349</v>
      </c>
      <c r="F53">
        <f t="shared" si="0"/>
        <v>2019</v>
      </c>
    </row>
    <row r="54" spans="1:6">
      <c r="A54" s="1" t="s">
        <v>6</v>
      </c>
      <c r="B54" s="1" t="s">
        <v>28</v>
      </c>
      <c r="C54" s="1" t="s">
        <v>10</v>
      </c>
      <c r="D54" s="1" t="s">
        <v>9</v>
      </c>
      <c r="E54" s="1">
        <v>601</v>
      </c>
      <c r="F54">
        <f t="shared" si="0"/>
        <v>2019</v>
      </c>
    </row>
    <row r="55" spans="1:6">
      <c r="A55" s="1" t="s">
        <v>6</v>
      </c>
      <c r="B55" s="1" t="s">
        <v>28</v>
      </c>
      <c r="C55" s="1" t="s">
        <v>11</v>
      </c>
      <c r="D55" s="1" t="s">
        <v>9</v>
      </c>
      <c r="E55" s="1">
        <v>5749</v>
      </c>
      <c r="F55">
        <f t="shared" si="0"/>
        <v>2019</v>
      </c>
    </row>
    <row r="56" spans="1:6">
      <c r="A56" s="1" t="s">
        <v>6</v>
      </c>
      <c r="B56" s="1" t="s">
        <v>29</v>
      </c>
      <c r="C56" s="1" t="s">
        <v>8</v>
      </c>
      <c r="D56" s="1" t="s">
        <v>9</v>
      </c>
      <c r="E56" s="1">
        <v>6299</v>
      </c>
      <c r="F56">
        <f t="shared" si="0"/>
        <v>2019</v>
      </c>
    </row>
    <row r="57" spans="1:6">
      <c r="A57" s="1" t="s">
        <v>6</v>
      </c>
      <c r="B57" s="1" t="s">
        <v>29</v>
      </c>
      <c r="C57" s="1" t="s">
        <v>10</v>
      </c>
      <c r="D57" s="1" t="s">
        <v>9</v>
      </c>
      <c r="E57" s="1">
        <v>638</v>
      </c>
      <c r="F57">
        <f t="shared" si="0"/>
        <v>2019</v>
      </c>
    </row>
    <row r="58" spans="1:6">
      <c r="A58" s="1" t="s">
        <v>6</v>
      </c>
      <c r="B58" s="1" t="s">
        <v>29</v>
      </c>
      <c r="C58" s="1" t="s">
        <v>11</v>
      </c>
      <c r="D58" s="1" t="s">
        <v>9</v>
      </c>
      <c r="E58" s="1">
        <v>5661</v>
      </c>
      <c r="F58">
        <f t="shared" si="0"/>
        <v>2019</v>
      </c>
    </row>
    <row r="59" spans="1:6">
      <c r="A59" s="1" t="s">
        <v>6</v>
      </c>
      <c r="B59" s="1" t="s">
        <v>30</v>
      </c>
      <c r="C59" s="1" t="s">
        <v>8</v>
      </c>
      <c r="D59" s="1" t="s">
        <v>9</v>
      </c>
      <c r="E59" s="1">
        <v>6728</v>
      </c>
      <c r="F59">
        <f t="shared" si="0"/>
        <v>2019</v>
      </c>
    </row>
    <row r="60" spans="1:6">
      <c r="A60" s="1" t="s">
        <v>6</v>
      </c>
      <c r="B60" s="1" t="s">
        <v>30</v>
      </c>
      <c r="C60" s="1" t="s">
        <v>10</v>
      </c>
      <c r="D60" s="1" t="s">
        <v>9</v>
      </c>
      <c r="E60" s="1">
        <v>672</v>
      </c>
      <c r="F60">
        <f t="shared" si="0"/>
        <v>2019</v>
      </c>
    </row>
    <row r="61" spans="1:6">
      <c r="A61" s="1" t="s">
        <v>6</v>
      </c>
      <c r="B61" s="1" t="s">
        <v>30</v>
      </c>
      <c r="C61" s="1" t="s">
        <v>11</v>
      </c>
      <c r="D61" s="1" t="s">
        <v>9</v>
      </c>
      <c r="E61" s="1">
        <v>6056</v>
      </c>
      <c r="F61">
        <f t="shared" si="0"/>
        <v>2019</v>
      </c>
    </row>
    <row r="62" spans="1:6">
      <c r="A62" s="1" t="s">
        <v>6</v>
      </c>
      <c r="B62" s="1" t="s">
        <v>31</v>
      </c>
      <c r="C62" s="1" t="s">
        <v>8</v>
      </c>
      <c r="D62" s="1" t="s">
        <v>9</v>
      </c>
      <c r="E62" s="1">
        <v>7399</v>
      </c>
      <c r="F62">
        <f t="shared" si="0"/>
        <v>2020</v>
      </c>
    </row>
    <row r="63" spans="1:6">
      <c r="A63" s="1" t="s">
        <v>6</v>
      </c>
      <c r="B63" s="1" t="s">
        <v>31</v>
      </c>
      <c r="C63" s="1" t="s">
        <v>10</v>
      </c>
      <c r="D63" s="1" t="s">
        <v>9</v>
      </c>
      <c r="E63" s="1">
        <v>691</v>
      </c>
      <c r="F63">
        <f t="shared" si="0"/>
        <v>2020</v>
      </c>
    </row>
    <row r="64" spans="1:6">
      <c r="A64" s="1" t="s">
        <v>6</v>
      </c>
      <c r="B64" s="1" t="s">
        <v>31</v>
      </c>
      <c r="C64" s="1" t="s">
        <v>11</v>
      </c>
      <c r="D64" s="1" t="s">
        <v>9</v>
      </c>
      <c r="E64" s="1">
        <v>6708</v>
      </c>
      <c r="F64">
        <f t="shared" si="0"/>
        <v>2020</v>
      </c>
    </row>
    <row r="65" spans="1:6">
      <c r="A65" s="1" t="s">
        <v>6</v>
      </c>
      <c r="B65" s="1" t="s">
        <v>32</v>
      </c>
      <c r="C65" s="1" t="s">
        <v>8</v>
      </c>
      <c r="D65" s="1" t="s">
        <v>9</v>
      </c>
      <c r="E65" s="1">
        <v>6429</v>
      </c>
      <c r="F65">
        <f t="shared" si="0"/>
        <v>2020</v>
      </c>
    </row>
    <row r="66" spans="1:6">
      <c r="A66" s="1" t="s">
        <v>6</v>
      </c>
      <c r="B66" s="1" t="s">
        <v>32</v>
      </c>
      <c r="C66" s="1" t="s">
        <v>10</v>
      </c>
      <c r="D66" s="1" t="s">
        <v>9</v>
      </c>
      <c r="E66" s="1">
        <v>722</v>
      </c>
      <c r="F66">
        <f t="shared" si="0"/>
        <v>2020</v>
      </c>
    </row>
    <row r="67" spans="1:6">
      <c r="A67" s="1" t="s">
        <v>6</v>
      </c>
      <c r="B67" s="1" t="s">
        <v>32</v>
      </c>
      <c r="C67" s="1" t="s">
        <v>11</v>
      </c>
      <c r="D67" s="1" t="s">
        <v>9</v>
      </c>
      <c r="E67" s="1">
        <v>5707</v>
      </c>
      <c r="F67">
        <f t="shared" ref="F67:F130" si="1">VALUE(LEFT(B67,4))</f>
        <v>2020</v>
      </c>
    </row>
    <row r="68" spans="1:6">
      <c r="A68" s="1" t="s">
        <v>6</v>
      </c>
      <c r="B68" s="1" t="s">
        <v>33</v>
      </c>
      <c r="C68" s="1" t="s">
        <v>8</v>
      </c>
      <c r="D68" s="1" t="s">
        <v>9</v>
      </c>
      <c r="E68" s="1">
        <v>6381</v>
      </c>
      <c r="F68">
        <f t="shared" si="1"/>
        <v>2020</v>
      </c>
    </row>
    <row r="69" spans="1:6">
      <c r="A69" s="1" t="s">
        <v>6</v>
      </c>
      <c r="B69" s="1" t="s">
        <v>33</v>
      </c>
      <c r="C69" s="1" t="s">
        <v>10</v>
      </c>
      <c r="D69" s="1" t="s">
        <v>9</v>
      </c>
      <c r="E69" s="1">
        <v>766</v>
      </c>
      <c r="F69">
        <f t="shared" si="1"/>
        <v>2020</v>
      </c>
    </row>
    <row r="70" spans="1:6">
      <c r="A70" s="1" t="s">
        <v>6</v>
      </c>
      <c r="B70" s="1" t="s">
        <v>33</v>
      </c>
      <c r="C70" s="1" t="s">
        <v>11</v>
      </c>
      <c r="D70" s="1" t="s">
        <v>9</v>
      </c>
      <c r="E70" s="1">
        <v>5615</v>
      </c>
      <c r="F70">
        <f t="shared" si="1"/>
        <v>2020</v>
      </c>
    </row>
    <row r="71" spans="1:6">
      <c r="A71" s="1" t="s">
        <v>6</v>
      </c>
      <c r="B71" s="1" t="s">
        <v>34</v>
      </c>
      <c r="C71" s="1" t="s">
        <v>8</v>
      </c>
      <c r="D71" s="1" t="s">
        <v>9</v>
      </c>
      <c r="E71" s="1">
        <v>6847</v>
      </c>
      <c r="F71">
        <f t="shared" si="1"/>
        <v>2020</v>
      </c>
    </row>
    <row r="72" spans="1:6">
      <c r="A72" s="1" t="s">
        <v>6</v>
      </c>
      <c r="B72" s="1" t="s">
        <v>34</v>
      </c>
      <c r="C72" s="1" t="s">
        <v>10</v>
      </c>
      <c r="D72" s="1" t="s">
        <v>9</v>
      </c>
      <c r="E72" s="1">
        <v>852</v>
      </c>
      <c r="F72">
        <f t="shared" si="1"/>
        <v>2020</v>
      </c>
    </row>
    <row r="73" spans="1:6">
      <c r="A73" s="1" t="s">
        <v>6</v>
      </c>
      <c r="B73" s="1" t="s">
        <v>34</v>
      </c>
      <c r="C73" s="1" t="s">
        <v>11</v>
      </c>
      <c r="D73" s="1" t="s">
        <v>9</v>
      </c>
      <c r="E73" s="1">
        <v>5996</v>
      </c>
      <c r="F73">
        <f t="shared" si="1"/>
        <v>2020</v>
      </c>
    </row>
    <row r="74" spans="1:6">
      <c r="A74" s="1" t="s">
        <v>6</v>
      </c>
      <c r="B74" s="1" t="s">
        <v>35</v>
      </c>
      <c r="C74" s="1" t="s">
        <v>8</v>
      </c>
      <c r="D74" s="1" t="s">
        <v>9</v>
      </c>
      <c r="E74" s="1">
        <v>7347</v>
      </c>
      <c r="F74">
        <f t="shared" si="1"/>
        <v>2021</v>
      </c>
    </row>
    <row r="75" spans="1:6">
      <c r="A75" s="1" t="s">
        <v>6</v>
      </c>
      <c r="B75" s="1" t="s">
        <v>35</v>
      </c>
      <c r="C75" s="1" t="s">
        <v>10</v>
      </c>
      <c r="D75" s="1" t="s">
        <v>9</v>
      </c>
      <c r="E75" s="1">
        <v>922</v>
      </c>
      <c r="F75">
        <f t="shared" si="1"/>
        <v>2021</v>
      </c>
    </row>
    <row r="76" spans="1:6">
      <c r="A76" s="1" t="s">
        <v>6</v>
      </c>
      <c r="B76" s="1" t="s">
        <v>35</v>
      </c>
      <c r="C76" s="1" t="s">
        <v>11</v>
      </c>
      <c r="D76" s="1" t="s">
        <v>9</v>
      </c>
      <c r="E76" s="1">
        <v>6426</v>
      </c>
      <c r="F76">
        <f t="shared" si="1"/>
        <v>2021</v>
      </c>
    </row>
    <row r="77" spans="1:6">
      <c r="A77" s="1" t="s">
        <v>6</v>
      </c>
      <c r="B77" s="1" t="s">
        <v>36</v>
      </c>
      <c r="C77" s="1" t="s">
        <v>8</v>
      </c>
      <c r="D77" s="1" t="s">
        <v>9</v>
      </c>
      <c r="E77" s="1">
        <v>7222</v>
      </c>
      <c r="F77">
        <f t="shared" si="1"/>
        <v>2021</v>
      </c>
    </row>
    <row r="78" spans="1:6">
      <c r="A78" s="1" t="s">
        <v>6</v>
      </c>
      <c r="B78" s="1" t="s">
        <v>36</v>
      </c>
      <c r="C78" s="1" t="s">
        <v>10</v>
      </c>
      <c r="D78" s="1" t="s">
        <v>9</v>
      </c>
      <c r="E78" s="1">
        <v>987</v>
      </c>
      <c r="F78">
        <f t="shared" si="1"/>
        <v>2021</v>
      </c>
    </row>
    <row r="79" spans="1:6">
      <c r="A79" s="1" t="s">
        <v>6</v>
      </c>
      <c r="B79" s="1" t="s">
        <v>36</v>
      </c>
      <c r="C79" s="1" t="s">
        <v>11</v>
      </c>
      <c r="D79" s="1" t="s">
        <v>9</v>
      </c>
      <c r="E79" s="1">
        <v>6235</v>
      </c>
      <c r="F79">
        <f t="shared" si="1"/>
        <v>2021</v>
      </c>
    </row>
    <row r="80" spans="1:6">
      <c r="A80" s="1" t="s">
        <v>6</v>
      </c>
      <c r="B80" s="1" t="s">
        <v>37</v>
      </c>
      <c r="C80" s="1" t="s">
        <v>8</v>
      </c>
      <c r="D80" s="1" t="s">
        <v>9</v>
      </c>
      <c r="E80" s="1">
        <v>6779</v>
      </c>
      <c r="F80">
        <f t="shared" si="1"/>
        <v>2021</v>
      </c>
    </row>
    <row r="81" spans="1:6">
      <c r="A81" s="1" t="s">
        <v>6</v>
      </c>
      <c r="B81" s="1" t="s">
        <v>37</v>
      </c>
      <c r="C81" s="1" t="s">
        <v>10</v>
      </c>
      <c r="D81" s="1" t="s">
        <v>9</v>
      </c>
      <c r="E81" s="1">
        <v>1035</v>
      </c>
      <c r="F81">
        <f t="shared" si="1"/>
        <v>2021</v>
      </c>
    </row>
    <row r="82" spans="1:6">
      <c r="A82" s="1" t="s">
        <v>6</v>
      </c>
      <c r="B82" s="1" t="s">
        <v>37</v>
      </c>
      <c r="C82" s="1" t="s">
        <v>11</v>
      </c>
      <c r="D82" s="1" t="s">
        <v>9</v>
      </c>
      <c r="E82" s="1">
        <v>5744</v>
      </c>
      <c r="F82">
        <f t="shared" si="1"/>
        <v>2021</v>
      </c>
    </row>
    <row r="83" spans="1:6">
      <c r="A83" s="1" t="s">
        <v>6</v>
      </c>
      <c r="B83" s="1" t="s">
        <v>38</v>
      </c>
      <c r="C83" s="1" t="s">
        <v>8</v>
      </c>
      <c r="D83" s="1" t="s">
        <v>9</v>
      </c>
      <c r="E83" s="1">
        <v>7158</v>
      </c>
      <c r="F83">
        <f t="shared" si="1"/>
        <v>2021</v>
      </c>
    </row>
    <row r="84" spans="1:6">
      <c r="A84" s="1" t="s">
        <v>6</v>
      </c>
      <c r="B84" s="1" t="s">
        <v>38</v>
      </c>
      <c r="C84" s="1" t="s">
        <v>10</v>
      </c>
      <c r="D84" s="1" t="s">
        <v>9</v>
      </c>
      <c r="E84" s="1">
        <v>1069</v>
      </c>
      <c r="F84">
        <f t="shared" si="1"/>
        <v>2021</v>
      </c>
    </row>
    <row r="85" spans="1:6">
      <c r="A85" s="1" t="s">
        <v>6</v>
      </c>
      <c r="B85" s="1" t="s">
        <v>38</v>
      </c>
      <c r="C85" s="1" t="s">
        <v>11</v>
      </c>
      <c r="D85" s="1" t="s">
        <v>9</v>
      </c>
      <c r="E85" s="1">
        <v>6089</v>
      </c>
      <c r="F85">
        <f t="shared" si="1"/>
        <v>2021</v>
      </c>
    </row>
    <row r="86" spans="1:6">
      <c r="A86" s="1" t="s">
        <v>6</v>
      </c>
      <c r="B86" s="1" t="s">
        <v>39</v>
      </c>
      <c r="C86" s="1" t="s">
        <v>8</v>
      </c>
      <c r="D86" s="1" t="s">
        <v>9</v>
      </c>
      <c r="E86" s="1">
        <v>7847</v>
      </c>
      <c r="F86">
        <f t="shared" si="1"/>
        <v>2022</v>
      </c>
    </row>
    <row r="87" spans="1:6">
      <c r="A87" s="1" t="s">
        <v>6</v>
      </c>
      <c r="B87" s="1" t="s">
        <v>39</v>
      </c>
      <c r="C87" s="1" t="s">
        <v>10</v>
      </c>
      <c r="D87" s="1" t="s">
        <v>9</v>
      </c>
      <c r="E87" s="1">
        <v>1194</v>
      </c>
      <c r="F87">
        <f t="shared" si="1"/>
        <v>2022</v>
      </c>
    </row>
    <row r="88" spans="1:6">
      <c r="A88" s="1" t="s">
        <v>6</v>
      </c>
      <c r="B88" s="1" t="s">
        <v>39</v>
      </c>
      <c r="C88" s="1" t="s">
        <v>11</v>
      </c>
      <c r="D88" s="1" t="s">
        <v>9</v>
      </c>
      <c r="E88" s="1">
        <v>6653</v>
      </c>
      <c r="F88">
        <f t="shared" si="1"/>
        <v>2022</v>
      </c>
    </row>
    <row r="89" spans="1:6">
      <c r="A89" s="1" t="s">
        <v>6</v>
      </c>
      <c r="B89" s="1" t="s">
        <v>40</v>
      </c>
      <c r="C89" s="1" t="s">
        <v>8</v>
      </c>
      <c r="D89" s="1" t="s">
        <v>9</v>
      </c>
      <c r="E89" s="1">
        <v>7524</v>
      </c>
      <c r="F89">
        <f t="shared" si="1"/>
        <v>2022</v>
      </c>
    </row>
    <row r="90" spans="1:6">
      <c r="A90" s="1" t="s">
        <v>6</v>
      </c>
      <c r="B90" s="1" t="s">
        <v>40</v>
      </c>
      <c r="C90" s="1" t="s">
        <v>10</v>
      </c>
      <c r="D90" s="1" t="s">
        <v>9</v>
      </c>
      <c r="E90" s="1">
        <v>1287</v>
      </c>
      <c r="F90">
        <f t="shared" si="1"/>
        <v>2022</v>
      </c>
    </row>
    <row r="91" spans="1:6">
      <c r="A91" s="1" t="s">
        <v>6</v>
      </c>
      <c r="B91" s="1" t="s">
        <v>40</v>
      </c>
      <c r="C91" s="1" t="s">
        <v>11</v>
      </c>
      <c r="D91" s="1" t="s">
        <v>9</v>
      </c>
      <c r="E91" s="1">
        <v>6237</v>
      </c>
      <c r="F91">
        <f t="shared" si="1"/>
        <v>2022</v>
      </c>
    </row>
    <row r="92" spans="1:6">
      <c r="A92" s="1" t="s">
        <v>6</v>
      </c>
      <c r="B92" s="1" t="s">
        <v>41</v>
      </c>
      <c r="C92" s="1" t="s">
        <v>8</v>
      </c>
      <c r="D92" s="1" t="s">
        <v>9</v>
      </c>
      <c r="E92" s="1">
        <v>7050</v>
      </c>
      <c r="F92">
        <f t="shared" si="1"/>
        <v>2022</v>
      </c>
    </row>
    <row r="93" spans="1:6">
      <c r="A93" s="1" t="s">
        <v>6</v>
      </c>
      <c r="B93" s="1" t="s">
        <v>41</v>
      </c>
      <c r="C93" s="1" t="s">
        <v>10</v>
      </c>
      <c r="D93" s="1" t="s">
        <v>9</v>
      </c>
      <c r="E93" s="1">
        <v>1336</v>
      </c>
      <c r="F93">
        <f t="shared" si="1"/>
        <v>2022</v>
      </c>
    </row>
    <row r="94" spans="1:6">
      <c r="A94" s="1" t="s">
        <v>6</v>
      </c>
      <c r="B94" s="1" t="s">
        <v>41</v>
      </c>
      <c r="C94" s="1" t="s">
        <v>11</v>
      </c>
      <c r="D94" s="1" t="s">
        <v>9</v>
      </c>
      <c r="E94" s="1">
        <v>5714</v>
      </c>
      <c r="F94">
        <f t="shared" si="1"/>
        <v>2022</v>
      </c>
    </row>
    <row r="95" spans="1:6">
      <c r="A95" s="1" t="s">
        <v>6</v>
      </c>
      <c r="B95" s="1" t="s">
        <v>42</v>
      </c>
      <c r="C95" s="1" t="s">
        <v>8</v>
      </c>
      <c r="D95" s="1" t="s">
        <v>9</v>
      </c>
      <c r="E95" s="1">
        <v>7404</v>
      </c>
      <c r="F95">
        <f t="shared" si="1"/>
        <v>2022</v>
      </c>
    </row>
    <row r="96" spans="1:6">
      <c r="A96" s="1" t="s">
        <v>6</v>
      </c>
      <c r="B96" s="1" t="s">
        <v>42</v>
      </c>
      <c r="C96" s="1" t="s">
        <v>10</v>
      </c>
      <c r="D96" s="1" t="s">
        <v>9</v>
      </c>
      <c r="E96" s="1">
        <v>1457</v>
      </c>
      <c r="F96">
        <f t="shared" si="1"/>
        <v>2022</v>
      </c>
    </row>
    <row r="97" spans="1:6">
      <c r="A97" s="1" t="s">
        <v>6</v>
      </c>
      <c r="B97" s="1" t="s">
        <v>42</v>
      </c>
      <c r="C97" s="1" t="s">
        <v>11</v>
      </c>
      <c r="D97" s="1" t="s">
        <v>9</v>
      </c>
      <c r="E97" s="1">
        <v>5948</v>
      </c>
      <c r="F97">
        <f t="shared" si="1"/>
        <v>2022</v>
      </c>
    </row>
    <row r="98" spans="1:6">
      <c r="A98" s="1" t="s">
        <v>6</v>
      </c>
      <c r="B98" s="1" t="s">
        <v>43</v>
      </c>
      <c r="C98" s="1" t="s">
        <v>8</v>
      </c>
      <c r="D98" s="1" t="s">
        <v>9</v>
      </c>
      <c r="E98" s="1">
        <v>8038</v>
      </c>
      <c r="F98">
        <f t="shared" si="1"/>
        <v>2023</v>
      </c>
    </row>
    <row r="99" spans="1:6">
      <c r="A99" s="1" t="s">
        <v>6</v>
      </c>
      <c r="B99" s="1" t="s">
        <v>43</v>
      </c>
      <c r="C99" s="1" t="s">
        <v>10</v>
      </c>
      <c r="D99" s="1" t="s">
        <v>9</v>
      </c>
      <c r="E99" s="1">
        <v>1497</v>
      </c>
      <c r="F99">
        <f t="shared" si="1"/>
        <v>2023</v>
      </c>
    </row>
    <row r="100" spans="1:6">
      <c r="A100" s="1" t="s">
        <v>6</v>
      </c>
      <c r="B100" s="1" t="s">
        <v>43</v>
      </c>
      <c r="C100" s="1" t="s">
        <v>11</v>
      </c>
      <c r="D100" s="1" t="s">
        <v>9</v>
      </c>
      <c r="E100" s="1">
        <v>6542</v>
      </c>
      <c r="F100">
        <f t="shared" si="1"/>
        <v>2023</v>
      </c>
    </row>
    <row r="101" spans="1:6">
      <c r="A101" s="1" t="s">
        <v>6</v>
      </c>
      <c r="B101" s="1" t="s">
        <v>44</v>
      </c>
      <c r="C101" s="1" t="s">
        <v>8</v>
      </c>
      <c r="D101" s="1" t="s">
        <v>9</v>
      </c>
      <c r="E101" s="1">
        <v>7706</v>
      </c>
      <c r="F101">
        <f t="shared" si="1"/>
        <v>2023</v>
      </c>
    </row>
    <row r="102" spans="1:6">
      <c r="A102" s="1" t="s">
        <v>6</v>
      </c>
      <c r="B102" s="1" t="s">
        <v>44</v>
      </c>
      <c r="C102" s="1" t="s">
        <v>10</v>
      </c>
      <c r="D102" s="1" t="s">
        <v>9</v>
      </c>
      <c r="E102" s="1">
        <v>1554</v>
      </c>
      <c r="F102">
        <f t="shared" si="1"/>
        <v>2023</v>
      </c>
    </row>
    <row r="103" spans="1:6">
      <c r="A103" s="1" t="s">
        <v>6</v>
      </c>
      <c r="B103" s="1" t="s">
        <v>44</v>
      </c>
      <c r="C103" s="1" t="s">
        <v>11</v>
      </c>
      <c r="D103" s="1" t="s">
        <v>9</v>
      </c>
      <c r="E103" s="1">
        <v>6152</v>
      </c>
      <c r="F103">
        <f t="shared" si="1"/>
        <v>2023</v>
      </c>
    </row>
    <row r="104" spans="1:6">
      <c r="A104" s="1" t="s">
        <v>6</v>
      </c>
      <c r="B104" s="1" t="s">
        <v>45</v>
      </c>
      <c r="C104" s="1" t="s">
        <v>8</v>
      </c>
      <c r="D104" s="1" t="s">
        <v>9</v>
      </c>
      <c r="E104" s="1">
        <v>7136</v>
      </c>
      <c r="F104">
        <f t="shared" si="1"/>
        <v>2023</v>
      </c>
    </row>
    <row r="105" spans="1:6">
      <c r="A105" s="1" t="s">
        <v>6</v>
      </c>
      <c r="B105" s="1" t="s">
        <v>45</v>
      </c>
      <c r="C105" s="1" t="s">
        <v>10</v>
      </c>
      <c r="D105" s="1" t="s">
        <v>9</v>
      </c>
      <c r="E105" s="1">
        <v>1625</v>
      </c>
      <c r="F105">
        <f t="shared" si="1"/>
        <v>2023</v>
      </c>
    </row>
    <row r="106" spans="1:6">
      <c r="A106" s="1" t="s">
        <v>6</v>
      </c>
      <c r="B106" s="1" t="s">
        <v>45</v>
      </c>
      <c r="C106" s="1" t="s">
        <v>11</v>
      </c>
      <c r="D106" s="1" t="s">
        <v>9</v>
      </c>
      <c r="E106" s="1">
        <v>5510</v>
      </c>
      <c r="F106">
        <f t="shared" si="1"/>
        <v>2023</v>
      </c>
    </row>
    <row r="107" spans="1:6">
      <c r="A107" s="1" t="s">
        <v>6</v>
      </c>
      <c r="B107" s="1" t="s">
        <v>46</v>
      </c>
      <c r="C107" s="1" t="s">
        <v>8</v>
      </c>
      <c r="D107" s="1" t="s">
        <v>9</v>
      </c>
      <c r="E107" s="1">
        <v>7701</v>
      </c>
      <c r="F107">
        <f t="shared" si="1"/>
        <v>2023</v>
      </c>
    </row>
    <row r="108" spans="1:6">
      <c r="A108" s="1" t="s">
        <v>6</v>
      </c>
      <c r="B108" s="1" t="s">
        <v>46</v>
      </c>
      <c r="C108" s="1" t="s">
        <v>10</v>
      </c>
      <c r="D108" s="1" t="s">
        <v>9</v>
      </c>
      <c r="E108" s="1">
        <v>1663</v>
      </c>
      <c r="F108">
        <f t="shared" si="1"/>
        <v>2023</v>
      </c>
    </row>
    <row r="109" spans="1:6">
      <c r="A109" s="1" t="s">
        <v>6</v>
      </c>
      <c r="B109" s="1" t="s">
        <v>46</v>
      </c>
      <c r="C109" s="1" t="s">
        <v>11</v>
      </c>
      <c r="D109" s="1" t="s">
        <v>9</v>
      </c>
      <c r="E109" s="1">
        <v>6038</v>
      </c>
      <c r="F109">
        <f t="shared" si="1"/>
        <v>2023</v>
      </c>
    </row>
    <row r="110" spans="1:6">
      <c r="A110" s="1" t="s">
        <v>6</v>
      </c>
      <c r="B110" s="1" t="s">
        <v>47</v>
      </c>
      <c r="C110" s="1" t="s">
        <v>8</v>
      </c>
      <c r="D110" s="1" t="s">
        <v>9</v>
      </c>
      <c r="E110" s="1">
        <v>8348</v>
      </c>
      <c r="F110">
        <f t="shared" si="1"/>
        <v>2024</v>
      </c>
    </row>
    <row r="111" spans="1:6">
      <c r="A111" s="1" t="s">
        <v>6</v>
      </c>
      <c r="B111" s="1" t="s">
        <v>47</v>
      </c>
      <c r="C111" s="1" t="s">
        <v>10</v>
      </c>
      <c r="D111" s="1" t="s">
        <v>9</v>
      </c>
      <c r="E111" s="1">
        <v>1659</v>
      </c>
      <c r="F111">
        <f t="shared" si="1"/>
        <v>2024</v>
      </c>
    </row>
    <row r="112" spans="1:6">
      <c r="A112" s="1" t="s">
        <v>6</v>
      </c>
      <c r="B112" s="1" t="s">
        <v>47</v>
      </c>
      <c r="C112" s="1" t="s">
        <v>11</v>
      </c>
      <c r="D112" s="1" t="s">
        <v>9</v>
      </c>
      <c r="E112" s="1">
        <v>6689</v>
      </c>
      <c r="F112">
        <f t="shared" si="1"/>
        <v>2024</v>
      </c>
    </row>
    <row r="113" spans="1:6">
      <c r="A113" s="1" t="s">
        <v>6</v>
      </c>
      <c r="B113" s="1" t="s">
        <v>48</v>
      </c>
      <c r="C113" s="1" t="s">
        <v>8</v>
      </c>
      <c r="D113" s="1" t="s">
        <v>9</v>
      </c>
      <c r="E113" s="1">
        <v>7935</v>
      </c>
      <c r="F113">
        <f t="shared" si="1"/>
        <v>2024</v>
      </c>
    </row>
    <row r="114" spans="1:6">
      <c r="A114" s="1" t="s">
        <v>6</v>
      </c>
      <c r="B114" s="1" t="s">
        <v>48</v>
      </c>
      <c r="C114" s="1" t="s">
        <v>10</v>
      </c>
      <c r="D114" s="1" t="s">
        <v>9</v>
      </c>
      <c r="E114" s="1">
        <v>1692</v>
      </c>
      <c r="F114">
        <f t="shared" si="1"/>
        <v>2024</v>
      </c>
    </row>
    <row r="115" spans="1:6">
      <c r="A115" s="1" t="s">
        <v>6</v>
      </c>
      <c r="B115" s="1" t="s">
        <v>48</v>
      </c>
      <c r="C115" s="1" t="s">
        <v>11</v>
      </c>
      <c r="D115" s="1" t="s">
        <v>9</v>
      </c>
      <c r="E115" s="1">
        <v>6243</v>
      </c>
      <c r="F115">
        <f t="shared" si="1"/>
        <v>2024</v>
      </c>
    </row>
    <row r="116" spans="1:6">
      <c r="A116" s="1" t="s">
        <v>6</v>
      </c>
      <c r="B116" s="1" t="s">
        <v>49</v>
      </c>
      <c r="C116" s="1" t="s">
        <v>8</v>
      </c>
      <c r="D116" s="1" t="s">
        <v>9</v>
      </c>
      <c r="E116" s="1">
        <v>7513</v>
      </c>
      <c r="F116">
        <f t="shared" si="1"/>
        <v>2024</v>
      </c>
    </row>
    <row r="117" spans="1:6">
      <c r="A117" s="1" t="s">
        <v>6</v>
      </c>
      <c r="B117" s="1" t="s">
        <v>49</v>
      </c>
      <c r="C117" s="1" t="s">
        <v>10</v>
      </c>
      <c r="D117" s="1" t="s">
        <v>9</v>
      </c>
      <c r="E117" s="1">
        <v>1793</v>
      </c>
      <c r="F117">
        <f t="shared" si="1"/>
        <v>2024</v>
      </c>
    </row>
    <row r="118" spans="1:6">
      <c r="A118" s="1" t="s">
        <v>6</v>
      </c>
      <c r="B118" s="1" t="s">
        <v>49</v>
      </c>
      <c r="C118" s="1" t="s">
        <v>11</v>
      </c>
      <c r="D118" s="1" t="s">
        <v>9</v>
      </c>
      <c r="E118" s="1">
        <v>5720</v>
      </c>
      <c r="F118">
        <f t="shared" si="1"/>
        <v>2024</v>
      </c>
    </row>
    <row r="119" spans="1:6">
      <c r="A119" s="1" t="s">
        <v>6</v>
      </c>
      <c r="B119" s="1" t="s">
        <v>50</v>
      </c>
      <c r="C119" s="1" t="s">
        <v>8</v>
      </c>
      <c r="D119" s="1" t="s">
        <v>9</v>
      </c>
      <c r="E119" s="1">
        <v>8108</v>
      </c>
      <c r="F119">
        <f t="shared" si="1"/>
        <v>2024</v>
      </c>
    </row>
    <row r="120" spans="1:6">
      <c r="A120" s="1" t="s">
        <v>6</v>
      </c>
      <c r="B120" s="1" t="s">
        <v>50</v>
      </c>
      <c r="C120" s="1" t="s">
        <v>10</v>
      </c>
      <c r="D120" s="1" t="s">
        <v>9</v>
      </c>
      <c r="E120" s="1">
        <v>1830</v>
      </c>
      <c r="F120">
        <f t="shared" si="1"/>
        <v>2024</v>
      </c>
    </row>
    <row r="121" spans="1:6">
      <c r="A121" s="1" t="s">
        <v>6</v>
      </c>
      <c r="B121" s="1" t="s">
        <v>50</v>
      </c>
      <c r="C121" s="1" t="s">
        <v>11</v>
      </c>
      <c r="D121" s="1" t="s">
        <v>9</v>
      </c>
      <c r="E121" s="1">
        <v>6278</v>
      </c>
      <c r="F121">
        <f t="shared" si="1"/>
        <v>2024</v>
      </c>
    </row>
    <row r="122" spans="1:6">
      <c r="A122" s="1" t="s">
        <v>6</v>
      </c>
      <c r="B122" s="1" t="s">
        <v>51</v>
      </c>
      <c r="C122" s="1" t="s">
        <v>8</v>
      </c>
      <c r="D122" s="1" t="s">
        <v>9</v>
      </c>
      <c r="E122" s="1">
        <v>8706</v>
      </c>
      <c r="F122">
        <f t="shared" si="1"/>
        <v>2025</v>
      </c>
    </row>
    <row r="123" spans="1:6">
      <c r="A123" s="1" t="s">
        <v>6</v>
      </c>
      <c r="B123" s="1" t="s">
        <v>51</v>
      </c>
      <c r="C123" s="1" t="s">
        <v>10</v>
      </c>
      <c r="D123" s="1" t="s">
        <v>9</v>
      </c>
      <c r="E123" s="1">
        <v>1821</v>
      </c>
      <c r="F123">
        <f t="shared" si="1"/>
        <v>2025</v>
      </c>
    </row>
    <row r="124" spans="1:6">
      <c r="A124" s="1" t="s">
        <v>6</v>
      </c>
      <c r="B124" s="1" t="s">
        <v>51</v>
      </c>
      <c r="C124" s="1" t="s">
        <v>11</v>
      </c>
      <c r="D124" s="1" t="s">
        <v>9</v>
      </c>
      <c r="E124" s="1">
        <v>6884</v>
      </c>
      <c r="F124">
        <f t="shared" si="1"/>
        <v>2025</v>
      </c>
    </row>
    <row r="125" spans="1:6">
      <c r="A125" s="1" t="s">
        <v>6</v>
      </c>
      <c r="B125" s="1" t="s">
        <v>52</v>
      </c>
      <c r="C125" s="1" t="s">
        <v>8</v>
      </c>
      <c r="D125" s="1" t="s">
        <v>9</v>
      </c>
      <c r="E125" s="1">
        <v>8127</v>
      </c>
      <c r="F125">
        <f t="shared" si="1"/>
        <v>2025</v>
      </c>
    </row>
    <row r="126" spans="1:6">
      <c r="A126" s="1" t="s">
        <v>6</v>
      </c>
      <c r="B126" s="1" t="s">
        <v>52</v>
      </c>
      <c r="C126" s="1" t="s">
        <v>10</v>
      </c>
      <c r="D126" s="1" t="s">
        <v>9</v>
      </c>
      <c r="E126" s="1">
        <v>1894</v>
      </c>
      <c r="F126">
        <f t="shared" si="1"/>
        <v>2025</v>
      </c>
    </row>
    <row r="127" spans="1:6">
      <c r="A127" s="1" t="s">
        <v>6</v>
      </c>
      <c r="B127" s="1" t="s">
        <v>52</v>
      </c>
      <c r="C127" s="1" t="s">
        <v>11</v>
      </c>
      <c r="D127" s="1" t="s">
        <v>9</v>
      </c>
      <c r="E127" s="1">
        <v>6232</v>
      </c>
      <c r="F127">
        <f t="shared" si="1"/>
        <v>2025</v>
      </c>
    </row>
    <row r="128" spans="1:6">
      <c r="A128" s="1" t="s">
        <v>6</v>
      </c>
      <c r="B128" s="1" t="s">
        <v>53</v>
      </c>
      <c r="C128" s="1" t="s">
        <v>8</v>
      </c>
      <c r="D128" s="1" t="s">
        <v>9</v>
      </c>
      <c r="E128" s="1">
        <v>7734</v>
      </c>
      <c r="F128">
        <f t="shared" si="1"/>
        <v>2025</v>
      </c>
    </row>
    <row r="129" spans="1:6">
      <c r="A129" s="1" t="s">
        <v>6</v>
      </c>
      <c r="B129" s="1" t="s">
        <v>53</v>
      </c>
      <c r="C129" s="1" t="s">
        <v>10</v>
      </c>
      <c r="D129" s="1" t="s">
        <v>9</v>
      </c>
      <c r="E129" s="1">
        <v>1956</v>
      </c>
      <c r="F129">
        <f t="shared" si="1"/>
        <v>2025</v>
      </c>
    </row>
    <row r="130" spans="1:6">
      <c r="A130" s="1" t="s">
        <v>6</v>
      </c>
      <c r="B130" s="1" t="s">
        <v>53</v>
      </c>
      <c r="C130" s="1" t="s">
        <v>11</v>
      </c>
      <c r="D130" s="1" t="s">
        <v>9</v>
      </c>
      <c r="E130" s="1">
        <v>5778</v>
      </c>
      <c r="F130">
        <f t="shared" si="1"/>
        <v>2025</v>
      </c>
    </row>
    <row r="131" spans="1:6">
      <c r="A131" s="1" t="s">
        <v>6</v>
      </c>
      <c r="B131" s="1" t="s">
        <v>54</v>
      </c>
      <c r="C131" s="1" t="s">
        <v>8</v>
      </c>
      <c r="D131" s="1" t="s">
        <v>9</v>
      </c>
      <c r="E131" s="1">
        <v>8420</v>
      </c>
      <c r="F131">
        <f t="shared" ref="F131:F133" si="2">VALUE(LEFT(B131,4))</f>
        <v>2025</v>
      </c>
    </row>
    <row r="132" spans="1:6">
      <c r="A132" s="1" t="s">
        <v>6</v>
      </c>
      <c r="B132" s="1" t="s">
        <v>54</v>
      </c>
      <c r="C132" s="1" t="s">
        <v>10</v>
      </c>
      <c r="D132" s="1" t="s">
        <v>9</v>
      </c>
      <c r="E132" s="1">
        <v>1991</v>
      </c>
      <c r="F132">
        <f t="shared" si="2"/>
        <v>2025</v>
      </c>
    </row>
    <row r="133" spans="1:6">
      <c r="A133" s="1" t="s">
        <v>6</v>
      </c>
      <c r="B133" s="1" t="s">
        <v>54</v>
      </c>
      <c r="C133" s="1" t="s">
        <v>11</v>
      </c>
      <c r="D133" s="1" t="s">
        <v>9</v>
      </c>
      <c r="E133" s="1">
        <v>6429</v>
      </c>
      <c r="F133">
        <f t="shared" si="2"/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FF82-F702-478B-A3B7-17E3C64F467B}">
  <dimension ref="A1:D12"/>
  <sheetViews>
    <sheetView workbookViewId="0">
      <selection activeCell="C3" sqref="C3"/>
    </sheetView>
  </sheetViews>
  <sheetFormatPr defaultRowHeight="15"/>
  <cols>
    <col min="2" max="2" width="13.85546875" customWidth="1"/>
    <col min="3" max="3" width="17.42578125" customWidth="1"/>
    <col min="4" max="4" width="16.85546875" customWidth="1"/>
  </cols>
  <sheetData>
    <row r="1" spans="1:4">
      <c r="A1" s="2" t="s">
        <v>55</v>
      </c>
      <c r="B1" s="2" t="s">
        <v>56</v>
      </c>
      <c r="C1" s="2" t="s">
        <v>57</v>
      </c>
      <c r="D1" s="2" t="s">
        <v>58</v>
      </c>
    </row>
    <row r="2" spans="1:4">
      <c r="A2">
        <v>2015</v>
      </c>
      <c r="B2">
        <v>1240</v>
      </c>
      <c r="C2">
        <v>23360</v>
      </c>
      <c r="D2">
        <v>24600</v>
      </c>
    </row>
    <row r="3" spans="1:4">
      <c r="A3">
        <v>2016</v>
      </c>
      <c r="B3">
        <v>1482</v>
      </c>
      <c r="C3">
        <v>23874</v>
      </c>
      <c r="D3">
        <v>25356</v>
      </c>
    </row>
    <row r="4" spans="1:4">
      <c r="A4">
        <v>2017</v>
      </c>
      <c r="B4">
        <v>1762</v>
      </c>
      <c r="C4">
        <v>23963</v>
      </c>
      <c r="D4">
        <v>25725</v>
      </c>
    </row>
    <row r="5" spans="1:4">
      <c r="A5">
        <v>2018</v>
      </c>
      <c r="B5">
        <v>2182</v>
      </c>
      <c r="C5">
        <v>24548</v>
      </c>
      <c r="D5">
        <v>26730</v>
      </c>
    </row>
    <row r="6" spans="1:4">
      <c r="A6">
        <v>2019</v>
      </c>
      <c r="B6">
        <v>2490</v>
      </c>
      <c r="C6">
        <v>24015</v>
      </c>
      <c r="D6">
        <v>26505</v>
      </c>
    </row>
    <row r="7" spans="1:4">
      <c r="A7">
        <v>2020</v>
      </c>
      <c r="B7">
        <v>3030</v>
      </c>
      <c r="C7">
        <v>24025</v>
      </c>
      <c r="D7">
        <v>27056</v>
      </c>
    </row>
    <row r="8" spans="1:4">
      <c r="A8">
        <v>2021</v>
      </c>
      <c r="B8">
        <v>4012</v>
      </c>
      <c r="C8">
        <v>24493</v>
      </c>
      <c r="D8">
        <v>28506</v>
      </c>
    </row>
    <row r="9" spans="1:4">
      <c r="A9">
        <v>2022</v>
      </c>
      <c r="B9">
        <v>5273</v>
      </c>
      <c r="C9">
        <v>24551</v>
      </c>
      <c r="D9">
        <v>29824</v>
      </c>
    </row>
    <row r="10" spans="1:4">
      <c r="A10">
        <v>2023</v>
      </c>
      <c r="B10">
        <v>6339</v>
      </c>
      <c r="C10">
        <v>24242</v>
      </c>
      <c r="D10">
        <v>30581</v>
      </c>
    </row>
    <row r="11" spans="1:4">
      <c r="A11">
        <v>2024</v>
      </c>
      <c r="B11">
        <v>6973</v>
      </c>
      <c r="C11">
        <v>24930</v>
      </c>
      <c r="D11">
        <v>31903</v>
      </c>
    </row>
    <row r="12" spans="1:4">
      <c r="A12">
        <v>2025</v>
      </c>
      <c r="B12">
        <v>7663</v>
      </c>
      <c r="C12">
        <v>25324</v>
      </c>
      <c r="D12">
        <v>32986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8037-24C2-46BF-A791-384AF10FDDAD}">
  <dimension ref="A1:E14"/>
  <sheetViews>
    <sheetView workbookViewId="0">
      <selection activeCell="C16" sqref="C16"/>
    </sheetView>
  </sheetViews>
  <sheetFormatPr defaultRowHeight="15"/>
  <cols>
    <col min="1" max="1" width="11.85546875" customWidth="1"/>
    <col min="2" max="2" width="13" customWidth="1"/>
    <col min="3" max="3" width="12.5703125" customWidth="1"/>
    <col min="4" max="4" width="10.28515625" customWidth="1"/>
  </cols>
  <sheetData>
    <row r="1" spans="1:5">
      <c r="A1" s="3" t="s">
        <v>5</v>
      </c>
      <c r="B1" s="3" t="s">
        <v>59</v>
      </c>
      <c r="C1" s="3" t="s">
        <v>56</v>
      </c>
      <c r="D1" s="3" t="s">
        <v>60</v>
      </c>
      <c r="E1" s="3" t="s">
        <v>61</v>
      </c>
    </row>
    <row r="2" spans="1:5">
      <c r="A2">
        <v>2015</v>
      </c>
      <c r="B2">
        <f>SUMIFS(raw!E:E, raw!F:F, A2, raw!C:C, "Data centres")</f>
        <v>1240</v>
      </c>
      <c r="C2">
        <f>_xlfn.XLOOKUP(A2, cso_published!A:A, cso_published!B:B)</f>
        <v>1240</v>
      </c>
      <c r="D2" s="3">
        <f>B2-C2</f>
        <v>0</v>
      </c>
      <c r="E2" t="str">
        <f>IF(ABS(D2)&lt;=1, "PASS", "CHECK")</f>
        <v>PASS</v>
      </c>
    </row>
    <row r="3" spans="1:5">
      <c r="A3">
        <v>2016</v>
      </c>
      <c r="B3">
        <f>SUMIFS(raw!E:E, raw!F:F, A3, raw!C:C, "Data centres")</f>
        <v>1483</v>
      </c>
      <c r="C3">
        <f>_xlfn.XLOOKUP(A3, cso_published!A:A, cso_published!B:B)</f>
        <v>1482</v>
      </c>
      <c r="D3" s="3">
        <f t="shared" ref="D3:D12" si="0">B3-C3</f>
        <v>1</v>
      </c>
      <c r="E3" t="str">
        <f t="shared" ref="E3:E12" si="1">IF(ABS(D3)&lt;=1, "PASS", "CHECK")</f>
        <v>PASS</v>
      </c>
    </row>
    <row r="4" spans="1:5">
      <c r="A4">
        <v>2017</v>
      </c>
      <c r="B4">
        <f>SUMIFS(raw!E:E, raw!F:F, A4, raw!C:C, "Data centres")</f>
        <v>1762</v>
      </c>
      <c r="C4">
        <f>_xlfn.XLOOKUP(A4, cso_published!A:A, cso_published!B:B)</f>
        <v>1762</v>
      </c>
      <c r="D4" s="3">
        <f t="shared" si="0"/>
        <v>0</v>
      </c>
      <c r="E4" t="str">
        <f t="shared" si="1"/>
        <v>PASS</v>
      </c>
    </row>
    <row r="5" spans="1:5">
      <c r="A5">
        <v>2018</v>
      </c>
      <c r="B5">
        <f>SUMIFS(raw!E:E, raw!F:F, A5, raw!C:C, "Data centres")</f>
        <v>2183</v>
      </c>
      <c r="C5">
        <f>_xlfn.XLOOKUP(A5, cso_published!A:A, cso_published!B:B)</f>
        <v>2182</v>
      </c>
      <c r="D5" s="3">
        <f t="shared" si="0"/>
        <v>1</v>
      </c>
      <c r="E5" t="str">
        <f t="shared" si="1"/>
        <v>PASS</v>
      </c>
    </row>
    <row r="6" spans="1:5">
      <c r="A6">
        <v>2019</v>
      </c>
      <c r="B6">
        <f>SUMIFS(raw!E:E, raw!F:F, A6, raw!C:C, "Data centres")</f>
        <v>2489</v>
      </c>
      <c r="C6">
        <f>_xlfn.XLOOKUP(A6, cso_published!A:A, cso_published!B:B)</f>
        <v>2490</v>
      </c>
      <c r="D6" s="3">
        <f t="shared" si="0"/>
        <v>-1</v>
      </c>
      <c r="E6" t="str">
        <f t="shared" si="1"/>
        <v>PASS</v>
      </c>
    </row>
    <row r="7" spans="1:5">
      <c r="A7">
        <v>2020</v>
      </c>
      <c r="B7">
        <f>SUMIFS(raw!E:E, raw!F:F, A7, raw!C:C, "Data centres")</f>
        <v>3031</v>
      </c>
      <c r="C7">
        <f>_xlfn.XLOOKUP(A7, cso_published!A:A, cso_published!B:B)</f>
        <v>3030</v>
      </c>
      <c r="D7" s="3">
        <f t="shared" si="0"/>
        <v>1</v>
      </c>
      <c r="E7" t="str">
        <f t="shared" si="1"/>
        <v>PASS</v>
      </c>
    </row>
    <row r="8" spans="1:5">
      <c r="A8">
        <v>2021</v>
      </c>
      <c r="B8">
        <f>SUMIFS(raw!E:E, raw!F:F, A8, raw!C:C, "Data centres")</f>
        <v>4013</v>
      </c>
      <c r="C8">
        <f>_xlfn.XLOOKUP(A8, cso_published!A:A, cso_published!B:B)</f>
        <v>4012</v>
      </c>
      <c r="D8" s="3">
        <f t="shared" si="0"/>
        <v>1</v>
      </c>
      <c r="E8" t="str">
        <f t="shared" si="1"/>
        <v>PASS</v>
      </c>
    </row>
    <row r="9" spans="1:5">
      <c r="A9">
        <v>2022</v>
      </c>
      <c r="B9">
        <f>SUMIFS(raw!E:E, raw!F:F, A9, raw!C:C, "Data centres")</f>
        <v>5274</v>
      </c>
      <c r="C9">
        <f>_xlfn.XLOOKUP(A9, cso_published!A:A, cso_published!B:B)</f>
        <v>5273</v>
      </c>
      <c r="D9" s="3">
        <f t="shared" si="0"/>
        <v>1</v>
      </c>
      <c r="E9" t="str">
        <f t="shared" si="1"/>
        <v>PASS</v>
      </c>
    </row>
    <row r="10" spans="1:5">
      <c r="A10">
        <v>2023</v>
      </c>
      <c r="B10">
        <f>SUMIFS(raw!E:E, raw!F:F, A10, raw!C:C, "Data centres")</f>
        <v>6339</v>
      </c>
      <c r="C10">
        <f>_xlfn.XLOOKUP(A10, cso_published!A:A, cso_published!B:B)</f>
        <v>6339</v>
      </c>
      <c r="D10" s="3">
        <f t="shared" si="0"/>
        <v>0</v>
      </c>
      <c r="E10" t="str">
        <f t="shared" si="1"/>
        <v>PASS</v>
      </c>
    </row>
    <row r="11" spans="1:5">
      <c r="A11">
        <v>2024</v>
      </c>
      <c r="B11">
        <f>SUMIFS(raw!E:E, raw!F:F, A11, raw!C:C, "Data centres")</f>
        <v>6974</v>
      </c>
      <c r="C11">
        <f>_xlfn.XLOOKUP(A11, cso_published!A:A, cso_published!B:B)</f>
        <v>6973</v>
      </c>
      <c r="D11" s="3">
        <f t="shared" si="0"/>
        <v>1</v>
      </c>
      <c r="E11" t="str">
        <f t="shared" si="1"/>
        <v>PASS</v>
      </c>
    </row>
    <row r="12" spans="1:5">
      <c r="A12">
        <v>2025</v>
      </c>
      <c r="B12">
        <f>SUMIFS(raw!E:E, raw!F:F, A12, raw!C:C, "Data centres")</f>
        <v>7662</v>
      </c>
      <c r="C12">
        <f>_xlfn.XLOOKUP(A12, cso_published!A:A, cso_published!B:B)</f>
        <v>7663</v>
      </c>
      <c r="D12" s="3">
        <f t="shared" si="0"/>
        <v>-1</v>
      </c>
      <c r="E12" t="str">
        <f t="shared" si="1"/>
        <v>PASS</v>
      </c>
    </row>
    <row r="14" spans="1:5">
      <c r="A14" t="s">
        <v>62</v>
      </c>
      <c r="B14" t="str">
        <f>COUNTIF(E2:E12, "PASS") &amp; " / " &amp; COUNTA(E2:E12)</f>
        <v>11 / 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2F95-2964-4DC0-9748-EF9BBADF2774}">
  <dimension ref="A3:G17"/>
  <sheetViews>
    <sheetView workbookViewId="0">
      <selection activeCell="H21" sqref="H21"/>
    </sheetView>
  </sheetViews>
  <sheetFormatPr defaultRowHeight="15"/>
  <cols>
    <col min="1" max="1" width="11.7109375" bestFit="1" customWidth="1"/>
    <col min="2" max="2" width="32.85546875" bestFit="1" customWidth="1"/>
    <col min="3" max="3" width="10.28515625" bestFit="1" customWidth="1"/>
    <col min="4" max="4" width="13.85546875" bestFit="1" customWidth="1"/>
    <col min="5" max="5" width="8.28515625" bestFit="1" customWidth="1"/>
    <col min="6" max="6" width="19.140625" bestFit="1" customWidth="1"/>
    <col min="7" max="7" width="13.42578125" bestFit="1" customWidth="1"/>
  </cols>
  <sheetData>
    <row r="3" spans="1:7">
      <c r="B3" s="4" t="s">
        <v>2</v>
      </c>
      <c r="C3" s="4" t="s">
        <v>63</v>
      </c>
    </row>
    <row r="4" spans="1:7">
      <c r="B4" t="s">
        <v>11</v>
      </c>
      <c r="D4" t="s">
        <v>10</v>
      </c>
      <c r="F4" t="s">
        <v>64</v>
      </c>
      <c r="G4" t="s">
        <v>65</v>
      </c>
    </row>
    <row r="5" spans="1:7">
      <c r="A5" s="4" t="s">
        <v>5</v>
      </c>
      <c r="B5" t="s">
        <v>66</v>
      </c>
      <c r="C5" t="s">
        <v>67</v>
      </c>
      <c r="D5" t="s">
        <v>66</v>
      </c>
      <c r="E5" t="s">
        <v>67</v>
      </c>
    </row>
    <row r="6" spans="1:7">
      <c r="A6">
        <v>2015</v>
      </c>
      <c r="B6" s="5">
        <v>23360</v>
      </c>
      <c r="C6" s="6">
        <v>0.94959349593495934</v>
      </c>
      <c r="D6" s="5">
        <v>1240</v>
      </c>
      <c r="E6" s="6">
        <v>5.0406504065040651E-2</v>
      </c>
      <c r="F6" s="5">
        <v>24600</v>
      </c>
      <c r="G6" s="6">
        <v>1</v>
      </c>
    </row>
    <row r="7" spans="1:7">
      <c r="A7">
        <v>2016</v>
      </c>
      <c r="B7" s="5">
        <v>23873</v>
      </c>
      <c r="C7" s="6">
        <v>0.94151285691749487</v>
      </c>
      <c r="D7" s="5">
        <v>1483</v>
      </c>
      <c r="E7" s="6">
        <v>5.8487143082505126E-2</v>
      </c>
      <c r="F7" s="5">
        <v>25356</v>
      </c>
      <c r="G7" s="6">
        <v>1</v>
      </c>
    </row>
    <row r="8" spans="1:7">
      <c r="A8">
        <v>2017</v>
      </c>
      <c r="B8" s="5">
        <v>23963</v>
      </c>
      <c r="C8" s="6">
        <v>0.93150631681243923</v>
      </c>
      <c r="D8" s="5">
        <v>1762</v>
      </c>
      <c r="E8" s="6">
        <v>6.8493683187560744E-2</v>
      </c>
      <c r="F8" s="5">
        <v>25725</v>
      </c>
      <c r="G8" s="6">
        <v>1</v>
      </c>
    </row>
    <row r="9" spans="1:7">
      <c r="A9">
        <v>2018</v>
      </c>
      <c r="B9" s="5">
        <v>24548</v>
      </c>
      <c r="C9" s="6">
        <v>0.91833451797538435</v>
      </c>
      <c r="D9" s="5">
        <v>2183</v>
      </c>
      <c r="E9" s="6">
        <v>8.1665482024615613E-2</v>
      </c>
      <c r="F9" s="5">
        <v>26731</v>
      </c>
      <c r="G9" s="6">
        <v>1</v>
      </c>
    </row>
    <row r="10" spans="1:7">
      <c r="A10">
        <v>2019</v>
      </c>
      <c r="B10" s="5">
        <v>24016</v>
      </c>
      <c r="C10" s="6">
        <v>0.90609318996415766</v>
      </c>
      <c r="D10" s="5">
        <v>2489</v>
      </c>
      <c r="E10" s="6">
        <v>9.3906810035842295E-2</v>
      </c>
      <c r="F10" s="5">
        <v>26505</v>
      </c>
      <c r="G10" s="6">
        <v>1</v>
      </c>
    </row>
    <row r="11" spans="1:7">
      <c r="A11">
        <v>2020</v>
      </c>
      <c r="B11" s="5">
        <v>24026</v>
      </c>
      <c r="C11" s="6">
        <v>0.88797723324832756</v>
      </c>
      <c r="D11" s="5">
        <v>3031</v>
      </c>
      <c r="E11" s="6">
        <v>0.1120227667516724</v>
      </c>
      <c r="F11" s="5">
        <v>27057</v>
      </c>
      <c r="G11" s="6">
        <v>1</v>
      </c>
    </row>
    <row r="12" spans="1:7">
      <c r="A12">
        <v>2021</v>
      </c>
      <c r="B12" s="5">
        <v>24494</v>
      </c>
      <c r="C12" s="6">
        <v>0.85922755814361385</v>
      </c>
      <c r="D12" s="5">
        <v>4013</v>
      </c>
      <c r="E12" s="6">
        <v>0.14077244185638615</v>
      </c>
      <c r="F12" s="5">
        <v>28507</v>
      </c>
      <c r="G12" s="6">
        <v>1</v>
      </c>
    </row>
    <row r="13" spans="1:7">
      <c r="A13">
        <v>2022</v>
      </c>
      <c r="B13" s="5">
        <v>24552</v>
      </c>
      <c r="C13" s="6">
        <v>0.82317441158720583</v>
      </c>
      <c r="D13" s="5">
        <v>5274</v>
      </c>
      <c r="E13" s="6">
        <v>0.17682558841279419</v>
      </c>
      <c r="F13" s="5">
        <v>29826</v>
      </c>
      <c r="G13" s="6">
        <v>1</v>
      </c>
    </row>
    <row r="14" spans="1:7">
      <c r="A14">
        <v>2023</v>
      </c>
      <c r="B14" s="5">
        <v>24242</v>
      </c>
      <c r="C14" s="6">
        <v>0.79271443052875967</v>
      </c>
      <c r="D14" s="5">
        <v>6339</v>
      </c>
      <c r="E14" s="6">
        <v>0.2072855694712403</v>
      </c>
      <c r="F14" s="5">
        <v>30581</v>
      </c>
      <c r="G14" s="6">
        <v>1</v>
      </c>
    </row>
    <row r="15" spans="1:7">
      <c r="A15">
        <v>2024</v>
      </c>
      <c r="B15" s="5">
        <v>24930</v>
      </c>
      <c r="C15" s="6">
        <v>0.78140672016048141</v>
      </c>
      <c r="D15" s="5">
        <v>6974</v>
      </c>
      <c r="E15" s="6">
        <v>0.21859327983951857</v>
      </c>
      <c r="F15" s="5">
        <v>31904</v>
      </c>
      <c r="G15" s="6">
        <v>1</v>
      </c>
    </row>
    <row r="16" spans="1:7">
      <c r="A16">
        <v>2025</v>
      </c>
      <c r="B16" s="5">
        <v>25323</v>
      </c>
      <c r="C16" s="6">
        <v>0.76771259663483404</v>
      </c>
      <c r="D16" s="5">
        <v>7662</v>
      </c>
      <c r="E16" s="6">
        <v>0.23228740336516598</v>
      </c>
      <c r="F16" s="5">
        <v>32985</v>
      </c>
      <c r="G16" s="6">
        <v>1</v>
      </c>
    </row>
    <row r="17" spans="1:7">
      <c r="A17" t="s">
        <v>68</v>
      </c>
      <c r="B17" s="5">
        <v>267327</v>
      </c>
      <c r="C17" s="6">
        <v>0.862965940014914</v>
      </c>
      <c r="D17" s="5">
        <v>42450</v>
      </c>
      <c r="E17" s="6">
        <v>0.13703405998508605</v>
      </c>
      <c r="F17" s="5">
        <v>309777</v>
      </c>
      <c r="G17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2026-10-29T14:05:39Z</dcterms:created>
  <dcterms:modified xsi:type="dcterms:W3CDTF">2026-10-29T15:04:06Z</dcterms:modified>
  <cp:category/>
  <cp:contentStatus/>
</cp:coreProperties>
</file>